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trobus\Downloads\"/>
    </mc:Choice>
  </mc:AlternateContent>
  <xr:revisionPtr revIDLastSave="0" documentId="13_ncr:1_{7A9511CA-A359-4869-B836-3F86AE2C4DD2}" xr6:coauthVersionLast="47" xr6:coauthVersionMax="47" xr10:uidLastSave="{00000000-0000-0000-0000-000000000000}"/>
  <bookViews>
    <workbookView xWindow="-110" yWindow="-110" windowWidth="24220" windowHeight="15500" firstSheet="1" activeTab="9" xr2:uid="{17F7C648-D942-49D3-BE96-BF4848BE3AC1}"/>
  </bookViews>
  <sheets>
    <sheet name="SideL1" sheetId="1" r:id="rId1"/>
    <sheet name="SideL3" sheetId="3" r:id="rId2"/>
    <sheet name="SideL4" sheetId="5" r:id="rId3"/>
    <sheet name="PacificFiji" sheetId="6" r:id="rId4"/>
    <sheet name="PacificFijiMINIMAL" sheetId="7" r:id="rId5"/>
    <sheet name="SideR1" sheetId="2" r:id="rId6"/>
    <sheet name="SideR2" sheetId="8" r:id="rId7"/>
    <sheet name="SideR3" sheetId="9" r:id="rId8"/>
    <sheet name="SideR4" sheetId="4" r:id="rId9"/>
    <sheet name="PacificHawaii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4" i="4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15" i="9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14" i="9"/>
  <c r="D13" i="9"/>
  <c r="A13" i="9"/>
  <c r="B10" i="9"/>
  <c r="B8" i="9"/>
  <c r="B7" i="9"/>
  <c r="B6" i="9"/>
  <c r="B149" i="8"/>
  <c r="C149" i="8" s="1"/>
  <c r="A149" i="8"/>
  <c r="B86" i="8"/>
  <c r="B87" i="8" s="1"/>
  <c r="A86" i="8"/>
  <c r="B14" i="8"/>
  <c r="B15" i="8" s="1"/>
  <c r="B16" i="8" s="1"/>
  <c r="B17" i="8" s="1"/>
  <c r="B18" i="8" s="1"/>
  <c r="B19" i="8" s="1"/>
  <c r="B20" i="8" s="1"/>
  <c r="B21" i="8" s="1"/>
  <c r="B22" i="8" s="1"/>
  <c r="B23" i="8" s="1"/>
  <c r="D13" i="8"/>
  <c r="A13" i="8"/>
  <c r="B10" i="8"/>
  <c r="B8" i="8"/>
  <c r="B7" i="8"/>
  <c r="B6" i="8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74" i="5"/>
  <c r="C74" i="5" s="1"/>
  <c r="A74" i="5"/>
  <c r="A73" i="5"/>
  <c r="B14" i="5"/>
  <c r="D13" i="5"/>
  <c r="B10" i="5"/>
  <c r="B8" i="5"/>
  <c r="B7" i="5"/>
  <c r="B6" i="5"/>
  <c r="D13" i="4"/>
  <c r="A13" i="4"/>
  <c r="B10" i="4"/>
  <c r="B8" i="4"/>
  <c r="B7" i="4"/>
  <c r="B6" i="4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D13" i="3"/>
  <c r="A13" i="3"/>
  <c r="B10" i="3"/>
  <c r="B8" i="3"/>
  <c r="B7" i="3"/>
  <c r="B6" i="3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14" i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D13" i="2"/>
  <c r="B10" i="2"/>
  <c r="B8" i="2"/>
  <c r="B7" i="2"/>
  <c r="B6" i="2"/>
  <c r="D13" i="1"/>
  <c r="A13" i="1"/>
  <c r="A14" i="1" s="1"/>
  <c r="B10" i="1"/>
  <c r="B8" i="1"/>
  <c r="B7" i="1"/>
  <c r="B9" i="1" s="1"/>
  <c r="B6" i="1"/>
  <c r="D458" i="10" a="1"/>
  <c r="C299" i="10" a="1"/>
  <c r="C297" i="10" a="1"/>
  <c r="C298" i="10" a="1"/>
  <c r="C295" i="10" a="1"/>
  <c r="C285" i="10" a="1"/>
  <c r="C275" i="10" a="1"/>
  <c r="C265" i="10" a="1"/>
  <c r="C255" i="10" a="1"/>
  <c r="C245" i="10" a="1"/>
  <c r="C235" i="10" a="1"/>
  <c r="D291" i="10" a="1"/>
  <c r="D281" i="10" a="1"/>
  <c r="D271" i="10" a="1"/>
  <c r="D261" i="10" a="1"/>
  <c r="D251" i="10" a="1"/>
  <c r="D241" i="10" a="1"/>
  <c r="D283" i="10" a="1"/>
  <c r="C261" i="10" a="1"/>
  <c r="C253" i="10" a="1"/>
  <c r="C246" i="10" a="1"/>
  <c r="C239" i="10" a="1"/>
  <c r="C267" i="10" a="1"/>
  <c r="D238" i="10" a="1"/>
  <c r="C272" i="10" a="1"/>
  <c r="D278" i="10" a="1"/>
  <c r="D248" i="10" a="1"/>
  <c r="D292" i="10" a="1"/>
  <c r="C247" i="10" a="1"/>
  <c r="D284" i="10" a="1"/>
  <c r="D269" i="10" a="1"/>
  <c r="D255" i="10" a="1"/>
  <c r="C292" i="10" a="1"/>
  <c r="D239" i="10" a="1"/>
  <c r="C276" i="10" a="1"/>
  <c r="D268" i="10" a="1"/>
  <c r="D253" i="10" a="1"/>
  <c r="D235" i="10" a="1"/>
  <c r="D293" i="10" a="1"/>
  <c r="D285" i="10" a="1"/>
  <c r="D276" i="10" a="1"/>
  <c r="D262" i="10" a="1"/>
  <c r="D254" i="10" a="1"/>
  <c r="D246" i="10" a="1"/>
  <c r="C283" i="10" a="1"/>
  <c r="C262" i="10" a="1"/>
  <c r="D282" i="10" a="1"/>
  <c r="D275" i="10" a="1"/>
  <c r="C237" i="10" a="1"/>
  <c r="D274" i="10" a="1"/>
  <c r="D252" i="10" a="1"/>
  <c r="D245" i="10" a="1"/>
  <c r="C282" i="10" a="1"/>
  <c r="D244" i="10" a="1"/>
  <c r="C252" i="10" a="1"/>
  <c r="D288" i="10" a="1"/>
  <c r="D243" i="10" a="1"/>
  <c r="C281" i="10" a="1"/>
  <c r="D273" i="10" a="1"/>
  <c r="C251" i="10" a="1"/>
  <c r="C287" i="10" a="1"/>
  <c r="D258" i="10" a="1"/>
  <c r="D295" i="10" a="1"/>
  <c r="C257" i="10" a="1"/>
  <c r="D294" i="10" a="1"/>
  <c r="D272" i="10" a="1"/>
  <c r="D265" i="10" a="1"/>
  <c r="D264" i="10" a="1"/>
  <c r="D242" i="10" a="1"/>
  <c r="D234" i="10" a="1"/>
  <c r="C271" i="10" a="1"/>
  <c r="C242" i="10" a="1"/>
  <c r="D263" i="10" a="1"/>
  <c r="C241" i="10" a="1"/>
  <c r="C277" i="10" a="1"/>
  <c r="C291" i="10" a="1"/>
  <c r="C269" i="10" a="1"/>
  <c r="D256" i="10" a="1"/>
  <c r="D236" i="10" a="1"/>
  <c r="D249" i="10" a="1"/>
  <c r="D286" i="10" a="1"/>
  <c r="C293" i="10" a="1"/>
  <c r="D289" i="10" a="1"/>
  <c r="D266" i="10" a="1"/>
  <c r="D279" i="10" a="1"/>
  <c r="C243" i="10" a="1"/>
  <c r="D259" i="10" a="1"/>
  <c r="D233" i="10" a="1"/>
  <c r="D207" i="10" a="1"/>
  <c r="C199" i="10" a="1"/>
  <c r="C182" i="10" a="1"/>
  <c r="D197" i="10" a="1"/>
  <c r="C181" i="10" a="1"/>
  <c r="D196" i="10" a="1"/>
  <c r="D220" i="10" a="1"/>
  <c r="C219" i="10" a="1"/>
  <c r="D187" i="10" a="1"/>
  <c r="C185" i="10" a="1"/>
  <c r="D170" i="10" a="1"/>
  <c r="D209" i="10" a="1"/>
  <c r="D225" i="10" a="1"/>
  <c r="C217" i="10" a="1"/>
  <c r="D184" i="10" a="1"/>
  <c r="C216" i="10" a="1"/>
  <c r="C176" i="10" a="1"/>
  <c r="C215" i="10" a="1"/>
  <c r="D175" i="10" a="1"/>
  <c r="C232" i="10" a="1"/>
  <c r="C183" i="10" a="1"/>
  <c r="D205" i="10" a="1"/>
  <c r="D190" i="10" a="1"/>
  <c r="C221" i="10" a="1"/>
  <c r="C189" i="10" a="1"/>
  <c r="D179" i="10" a="1"/>
  <c r="D203" i="10" a="1"/>
  <c r="D226" i="10" a="1"/>
  <c r="D223" i="10" a="1"/>
  <c r="C207" i="10" a="1"/>
  <c r="D198" i="10" a="1"/>
  <c r="D180" i="10" a="1"/>
  <c r="D210" i="10" a="1"/>
  <c r="C184" i="10" a="1"/>
  <c r="D222" i="10" a="1"/>
  <c r="D206" i="10" a="1"/>
  <c r="D231" i="10" a="1"/>
  <c r="C202" i="10" a="1"/>
  <c r="D186" i="10" a="1"/>
  <c r="C227" i="10" a="1"/>
  <c r="D169" i="10" a="1"/>
  <c r="D192" i="10" a="1"/>
  <c r="D224" i="10" a="1"/>
  <c r="D191" i="10" a="1"/>
  <c r="D221" i="10" a="1"/>
  <c r="C213" i="10" a="1"/>
  <c r="C173" i="10" a="1"/>
  <c r="C197" i="10" a="1"/>
  <c r="D172" i="10" a="1"/>
  <c r="D229" i="10" a="1"/>
  <c r="D195" i="10" a="1"/>
  <c r="D218" i="10" a="1"/>
  <c r="D217" i="10" a="1"/>
  <c r="D177" i="10" a="1"/>
  <c r="D208" i="10" a="1"/>
  <c r="D230" i="10" a="1"/>
  <c r="C212" i="10" a="1"/>
  <c r="D188" i="10" a="1"/>
  <c r="D227" i="10" a="1"/>
  <c r="C187" i="10" a="1"/>
  <c r="D178" i="10" a="1"/>
  <c r="D193" i="10" a="1"/>
  <c r="C177" i="10" a="1"/>
  <c r="D200" i="10" a="1"/>
  <c r="C214" i="10" a="1"/>
  <c r="D181" i="10" a="1"/>
  <c r="C211" i="10" a="1"/>
  <c r="C191" i="10" a="1"/>
  <c r="D171" i="10" a="1"/>
  <c r="D204" i="10" a="1"/>
  <c r="D201" i="10" a="1"/>
  <c r="C194" i="10" a="1"/>
  <c r="C174" i="10" a="1"/>
  <c r="C224" i="10" a="1"/>
  <c r="C165" i="10" a="1"/>
  <c r="C155" i="10" a="1"/>
  <c r="C145" i="10" a="1"/>
  <c r="C135" i="10" a="1"/>
  <c r="C125" i="10" a="1"/>
  <c r="C115" i="10" a="1"/>
  <c r="C105" i="10" a="1"/>
  <c r="C95" i="10" a="1"/>
  <c r="C85" i="10" a="1"/>
  <c r="C76" i="10" a="1"/>
  <c r="C151" i="10" a="1"/>
  <c r="D122" i="10" a="1"/>
  <c r="D118" i="10" a="1"/>
  <c r="C114" i="10" a="1"/>
  <c r="D102" i="10" a="1"/>
  <c r="D98" i="10" a="1"/>
  <c r="C94" i="10" a="1"/>
  <c r="D82" i="10" a="1"/>
  <c r="D79" i="10" a="1"/>
  <c r="C75" i="10" a="1"/>
  <c r="D63" i="10" a="1"/>
  <c r="D59" i="10" a="1"/>
  <c r="C55" i="10" a="1"/>
  <c r="D43" i="10" a="1"/>
  <c r="D39" i="10" a="1"/>
  <c r="C35" i="10" a="1"/>
  <c r="D23" i="10" a="1"/>
  <c r="D151" i="10" a="1"/>
  <c r="D155" i="10" a="1"/>
  <c r="D142" i="10" a="1"/>
  <c r="C112" i="10" a="1"/>
  <c r="C162" i="10" a="1"/>
  <c r="C122" i="10" a="1"/>
  <c r="D112" i="10" a="1"/>
  <c r="C102" i="10" a="1"/>
  <c r="D92" i="10" a="1"/>
  <c r="D49" i="10" a="1"/>
  <c r="C11" i="10" a="1"/>
  <c r="C121" i="10" a="1"/>
  <c r="C101" i="10" a="1"/>
  <c r="C87" i="10" a="1"/>
  <c r="D78" i="10" a="1"/>
  <c r="C39" i="10" a="1"/>
  <c r="C29" i="10" a="1"/>
  <c r="C20" i="10" a="1"/>
  <c r="C15" i="10" a="1"/>
  <c r="D34" i="10" a="1"/>
  <c r="C131" i="10" a="1"/>
  <c r="C126" i="10" a="1"/>
  <c r="C33" i="10" a="1"/>
  <c r="C23" i="10" a="1"/>
  <c r="D165" i="10" a="1"/>
  <c r="C110" i="10" a="1"/>
  <c r="D146" i="10" a="1"/>
  <c r="D134" i="10" a="1"/>
  <c r="D167" i="10" a="1"/>
  <c r="D143" i="10" a="1"/>
  <c r="D54" i="10" a="1"/>
  <c r="D160" i="10" a="1"/>
  <c r="C96" i="10" a="1"/>
  <c r="C73" i="10" a="1"/>
  <c r="C63" i="10" a="1"/>
  <c r="D53" i="10" a="1"/>
  <c r="D19" i="10" a="1"/>
  <c r="C111" i="10" a="1"/>
  <c r="D100" i="10" a="1"/>
  <c r="C91" i="10" a="1"/>
  <c r="D86" i="10" a="1"/>
  <c r="C62" i="10" a="1"/>
  <c r="C48" i="10" a="1"/>
  <c r="C14" i="10" a="1"/>
  <c r="C136" i="10" a="1"/>
  <c r="D66" i="10" a="1"/>
  <c r="C130" i="10" a="1"/>
  <c r="D135" i="10" a="1"/>
  <c r="C152" i="10" a="1"/>
  <c r="C51" i="10" a="1"/>
  <c r="C149" i="10" a="1"/>
  <c r="D132" i="10" a="1"/>
  <c r="D121" i="10" a="1"/>
  <c r="D116" i="10" a="1"/>
  <c r="D101" i="10" a="1"/>
  <c r="D96" i="10" a="1"/>
  <c r="C92" i="10" a="1"/>
  <c r="C82" i="10" a="1"/>
  <c r="D73" i="10" a="1"/>
  <c r="D29" i="10" a="1"/>
  <c r="C132" i="10" a="1"/>
  <c r="D58" i="10" a="1"/>
  <c r="D166" i="10" a="1"/>
  <c r="C116" i="10" a="1"/>
  <c r="C142" i="10" a="1"/>
  <c r="D38" i="10" a="1"/>
  <c r="C90" i="10" a="1"/>
  <c r="D152" i="10" a="1"/>
  <c r="D94" i="10" a="1"/>
  <c r="D56" i="10" a="1"/>
  <c r="C164" i="10" a="1"/>
  <c r="D36" i="10" a="1"/>
  <c r="C118" i="10" a="1"/>
  <c r="C98" i="10" a="1"/>
  <c r="D154" i="10" a="1"/>
  <c r="C143" i="10" a="1"/>
  <c r="D137" i="10" a="1"/>
  <c r="D77" i="10" a="1"/>
  <c r="D120" i="10" a="1"/>
  <c r="C106" i="10" a="1"/>
  <c r="D42" i="10" a="1"/>
  <c r="D22" i="10" a="1"/>
  <c r="D46" i="10" a="1"/>
  <c r="D157" i="10" a="1"/>
  <c r="C71" i="10" a="1"/>
  <c r="D75" i="10" a="1"/>
  <c r="D26" i="10" a="1"/>
  <c r="C157" i="10" a="1"/>
  <c r="C134" i="10" a="1"/>
  <c r="C166" i="10" a="1"/>
  <c r="C160" i="10" a="1"/>
  <c r="D147" i="10" a="1"/>
  <c r="D131" i="10" a="1"/>
  <c r="D125" i="10" a="1"/>
  <c r="D105" i="10" a="1"/>
  <c r="C86" i="10" a="1"/>
  <c r="C77" i="10" a="1"/>
  <c r="D62" i="10" a="1"/>
  <c r="C53" i="10" a="1"/>
  <c r="C43" i="10" a="1"/>
  <c r="D33" i="10" a="1"/>
  <c r="C18" i="10" a="1"/>
  <c r="D14" i="10" a="1"/>
  <c r="C153" i="10" a="1"/>
  <c r="D115" i="10" a="1"/>
  <c r="D95" i="10" a="1"/>
  <c r="D114" i="10" a="1"/>
  <c r="C27" i="10" a="1"/>
  <c r="D145" i="10" a="1"/>
  <c r="C120" i="10" a="1"/>
  <c r="C100" i="10" a="1"/>
  <c r="D85" i="10" a="1"/>
  <c r="D18" i="10" a="1"/>
  <c r="C147" i="10" a="1"/>
  <c r="D141" i="10" a="1"/>
  <c r="C67" i="10" a="1"/>
  <c r="D13" i="10" a="1"/>
  <c r="D76" i="10" a="1"/>
  <c r="C47" i="10" a="1"/>
  <c r="D164" i="10" a="1"/>
  <c r="C13" i="10" a="1"/>
  <c r="D55" i="10" a="1"/>
  <c r="D126" i="10" a="1"/>
  <c r="C61" i="10" a="1"/>
  <c r="C49" i="10" a="1"/>
  <c r="D37" i="10" a="1"/>
  <c r="D12" i="10" a="1"/>
  <c r="D111" i="10" a="1"/>
  <c r="D74" i="10" a="1"/>
  <c r="D124" i="10" a="1"/>
  <c r="D110" i="10" a="1"/>
  <c r="C84" i="10" a="1"/>
  <c r="C24" i="10" a="1"/>
  <c r="D72" i="10" a="1"/>
  <c r="D35" i="10" a="1"/>
  <c r="D11" i="10" a="1"/>
  <c r="D108" i="10" a="1"/>
  <c r="D71" i="10" a="1"/>
  <c r="D136" i="10" a="1"/>
  <c r="C119" i="10" a="1"/>
  <c r="D68" i="10" a="1"/>
  <c r="D133" i="10" a="1"/>
  <c r="D130" i="10" a="1"/>
  <c r="D90" i="10" a="1"/>
  <c r="D16" i="10" a="1"/>
  <c r="C129" i="10" a="1"/>
  <c r="C89" i="10" a="1"/>
  <c r="D40" i="10" a="1"/>
  <c r="D128" i="10" a="1"/>
  <c r="D52" i="10" a="1"/>
  <c r="D51" i="10" a="1"/>
  <c r="D15" i="10" a="1"/>
  <c r="D127" i="10" a="1"/>
  <c r="D87" i="10" a="1"/>
  <c r="D139" i="10" a="1"/>
  <c r="C139" i="10" a="1"/>
  <c r="D48" i="10" a="1"/>
  <c r="C109" i="10" a="1"/>
  <c r="D97" i="10" a="1"/>
  <c r="D83" i="10" a="1"/>
  <c r="D60" i="10" a="1"/>
  <c r="C59" i="10" a="1"/>
  <c r="C83" i="10" a="1"/>
  <c r="C45" i="10" a="1"/>
  <c r="D44" i="10" a="1"/>
  <c r="C146" i="10" a="1"/>
  <c r="D30" i="10" a="1"/>
  <c r="C104" i="10" a="1"/>
  <c r="C42" i="10" a="1"/>
  <c r="D91" i="10" a="1"/>
  <c r="C41" i="10" a="1"/>
  <c r="D17" i="10" a="1"/>
  <c r="D117" i="10" a="1"/>
  <c r="D156" i="10" a="1"/>
  <c r="C156" i="10" a="1"/>
  <c r="D25" i="10" a="1"/>
  <c r="C127" i="10" a="1"/>
  <c r="D50" i="10" a="1"/>
  <c r="D65" i="10" a="1"/>
  <c r="D144" i="10" a="1"/>
  <c r="D64" i="10" a="1"/>
  <c r="D28" i="10" a="1"/>
  <c r="C40" i="10" a="1"/>
  <c r="C64" i="10" a="1"/>
  <c r="C140" i="10" a="1"/>
  <c r="C99" i="10" a="1"/>
  <c r="D107" i="10" a="1"/>
  <c r="D45" i="10" a="1"/>
  <c r="C34" i="10" a="1"/>
  <c r="D10" i="10" a="1"/>
  <c r="D162" i="10" a="1"/>
  <c r="D69" i="10" a="1"/>
  <c r="C57" i="10" a="1"/>
  <c r="C107" i="10" a="1"/>
  <c r="D93" i="10" a="1"/>
  <c r="D32" i="10" a="1"/>
  <c r="D20" i="10" a="1"/>
  <c r="C81" i="10" a="1"/>
  <c r="C19" i="10" a="1"/>
  <c r="C79" i="10" a="1"/>
  <c r="C30" i="10" a="1"/>
  <c r="D103" i="10" a="1"/>
  <c r="C144" i="10" a="1"/>
  <c r="C25" i="10" a="1"/>
  <c r="C117" i="10" a="1"/>
  <c r="C133" i="10" a="1"/>
  <c r="C14" i="4" l="1"/>
  <c r="E14" i="4" s="1"/>
  <c r="F14" i="4" s="1"/>
  <c r="C298" i="10"/>
  <c r="C297" i="10"/>
  <c r="C299" i="10"/>
  <c r="D458" i="10"/>
  <c r="D259" i="10"/>
  <c r="C243" i="10"/>
  <c r="D279" i="10"/>
  <c r="D266" i="10"/>
  <c r="D289" i="10"/>
  <c r="C293" i="10"/>
  <c r="D286" i="10"/>
  <c r="D249" i="10"/>
  <c r="D236" i="10"/>
  <c r="D256" i="10"/>
  <c r="C269" i="10"/>
  <c r="C291" i="10"/>
  <c r="C277" i="10"/>
  <c r="C241" i="10"/>
  <c r="E241" i="10" s="1"/>
  <c r="D263" i="10"/>
  <c r="C242" i="10"/>
  <c r="C271" i="10"/>
  <c r="D234" i="10"/>
  <c r="D242" i="10"/>
  <c r="D264" i="10"/>
  <c r="D265" i="10"/>
  <c r="D272" i="10"/>
  <c r="D294" i="10"/>
  <c r="C257" i="10"/>
  <c r="D295" i="10"/>
  <c r="D258" i="10"/>
  <c r="C287" i="10"/>
  <c r="C251" i="10"/>
  <c r="D273" i="10"/>
  <c r="C281" i="10"/>
  <c r="D243" i="10"/>
  <c r="D288" i="10"/>
  <c r="C252" i="10"/>
  <c r="D244" i="10"/>
  <c r="C282" i="10"/>
  <c r="D245" i="10"/>
  <c r="D252" i="10"/>
  <c r="D274" i="10"/>
  <c r="C237" i="10"/>
  <c r="D275" i="10"/>
  <c r="D282" i="10"/>
  <c r="C262" i="10"/>
  <c r="C283" i="10"/>
  <c r="D246" i="10"/>
  <c r="D254" i="10"/>
  <c r="D262" i="10"/>
  <c r="D276" i="10"/>
  <c r="D285" i="10"/>
  <c r="D293" i="10"/>
  <c r="D235" i="10"/>
  <c r="D253" i="10"/>
  <c r="D268" i="10"/>
  <c r="C276" i="10"/>
  <c r="D239" i="10"/>
  <c r="C292" i="10"/>
  <c r="D255" i="10"/>
  <c r="D269" i="10"/>
  <c r="D284" i="10"/>
  <c r="C247" i="10"/>
  <c r="D292" i="10"/>
  <c r="D248" i="10"/>
  <c r="D278" i="10"/>
  <c r="C272" i="10"/>
  <c r="D238" i="10"/>
  <c r="C267" i="10"/>
  <c r="C239" i="10"/>
  <c r="C246" i="10"/>
  <c r="C253" i="10"/>
  <c r="C261" i="10"/>
  <c r="D283" i="10"/>
  <c r="D241" i="10"/>
  <c r="D251" i="10"/>
  <c r="D261" i="10"/>
  <c r="D271" i="10"/>
  <c r="D281" i="10"/>
  <c r="D291" i="10"/>
  <c r="C235" i="10"/>
  <c r="C245" i="10"/>
  <c r="C255" i="10"/>
  <c r="C265" i="10"/>
  <c r="C275" i="10"/>
  <c r="E275" i="10" s="1"/>
  <c r="C285" i="10"/>
  <c r="C295" i="10"/>
  <c r="D233" i="10"/>
  <c r="C224" i="10"/>
  <c r="C174" i="10"/>
  <c r="C194" i="10"/>
  <c r="D201" i="10"/>
  <c r="D204" i="10"/>
  <c r="D171" i="10"/>
  <c r="C191" i="10"/>
  <c r="C211" i="10"/>
  <c r="D181" i="10"/>
  <c r="C214" i="10"/>
  <c r="D200" i="10"/>
  <c r="C177" i="10"/>
  <c r="D193" i="10"/>
  <c r="D178" i="10"/>
  <c r="C187" i="10"/>
  <c r="D227" i="10"/>
  <c r="D188" i="10"/>
  <c r="C212" i="10"/>
  <c r="D230" i="10"/>
  <c r="D208" i="10"/>
  <c r="D177" i="10"/>
  <c r="D217" i="10"/>
  <c r="D218" i="10"/>
  <c r="D195" i="10"/>
  <c r="D229" i="10"/>
  <c r="D172" i="10"/>
  <c r="C197" i="10"/>
  <c r="C173" i="10"/>
  <c r="C213" i="10"/>
  <c r="D221" i="10"/>
  <c r="D191" i="10"/>
  <c r="D224" i="10"/>
  <c r="D192" i="10"/>
  <c r="D169" i="10"/>
  <c r="C227" i="10"/>
  <c r="D186" i="10"/>
  <c r="C202" i="10"/>
  <c r="D231" i="10"/>
  <c r="D206" i="10"/>
  <c r="D222" i="10"/>
  <c r="C184" i="10"/>
  <c r="D210" i="10"/>
  <c r="D180" i="10"/>
  <c r="D198" i="10"/>
  <c r="C207" i="10"/>
  <c r="D223" i="10"/>
  <c r="D226" i="10"/>
  <c r="D203" i="10"/>
  <c r="D179" i="10"/>
  <c r="C189" i="10"/>
  <c r="C221" i="10"/>
  <c r="D190" i="10"/>
  <c r="D205" i="10"/>
  <c r="C183" i="10"/>
  <c r="C232" i="10"/>
  <c r="D175" i="10"/>
  <c r="C215" i="10"/>
  <c r="C176" i="10"/>
  <c r="C216" i="10"/>
  <c r="D184" i="10"/>
  <c r="C217" i="10"/>
  <c r="D225" i="10"/>
  <c r="D209" i="10"/>
  <c r="D170" i="10"/>
  <c r="C185" i="10"/>
  <c r="D187" i="10"/>
  <c r="C219" i="10"/>
  <c r="D220" i="10"/>
  <c r="D196" i="10"/>
  <c r="C181" i="10"/>
  <c r="D197" i="10"/>
  <c r="C182" i="10"/>
  <c r="C199" i="10"/>
  <c r="D207" i="10"/>
  <c r="C133" i="10"/>
  <c r="C117" i="10"/>
  <c r="C25" i="10"/>
  <c r="C144" i="10"/>
  <c r="D103" i="10"/>
  <c r="C30" i="10"/>
  <c r="C79" i="10"/>
  <c r="C19" i="10"/>
  <c r="C81" i="10"/>
  <c r="D20" i="10"/>
  <c r="D32" i="10"/>
  <c r="D93" i="10"/>
  <c r="C107" i="10"/>
  <c r="C57" i="10"/>
  <c r="D69" i="10"/>
  <c r="D162" i="10"/>
  <c r="D10" i="10"/>
  <c r="C34" i="10"/>
  <c r="D45" i="10"/>
  <c r="D107" i="10"/>
  <c r="C99" i="10"/>
  <c r="C140" i="10"/>
  <c r="C64" i="10"/>
  <c r="C40" i="10"/>
  <c r="D28" i="10"/>
  <c r="D64" i="10"/>
  <c r="D144" i="10"/>
  <c r="D65" i="10"/>
  <c r="D50" i="10"/>
  <c r="C127" i="10"/>
  <c r="D25" i="10"/>
  <c r="C156" i="10"/>
  <c r="D156" i="10"/>
  <c r="D117" i="10"/>
  <c r="D17" i="10"/>
  <c r="C41" i="10"/>
  <c r="D91" i="10"/>
  <c r="C42" i="10"/>
  <c r="C104" i="10"/>
  <c r="D30" i="10"/>
  <c r="C146" i="10"/>
  <c r="D44" i="10"/>
  <c r="C45" i="10"/>
  <c r="C83" i="10"/>
  <c r="C59" i="10"/>
  <c r="D60" i="10"/>
  <c r="D83" i="10"/>
  <c r="D97" i="10"/>
  <c r="C109" i="10"/>
  <c r="D48" i="10"/>
  <c r="C139" i="10"/>
  <c r="D139" i="10"/>
  <c r="D87" i="10"/>
  <c r="D127" i="10"/>
  <c r="D15" i="10"/>
  <c r="D51" i="10"/>
  <c r="D52" i="10"/>
  <c r="D128" i="10"/>
  <c r="D40" i="10"/>
  <c r="C89" i="10"/>
  <c r="C129" i="10"/>
  <c r="D16" i="10"/>
  <c r="D90" i="10"/>
  <c r="D130" i="10"/>
  <c r="D133" i="10"/>
  <c r="D68" i="10"/>
  <c r="C119" i="10"/>
  <c r="D136" i="10"/>
  <c r="D71" i="10"/>
  <c r="D108" i="10"/>
  <c r="D11" i="10"/>
  <c r="D35" i="10"/>
  <c r="D72" i="10"/>
  <c r="C24" i="10"/>
  <c r="C84" i="10"/>
  <c r="D110" i="10"/>
  <c r="D124" i="10"/>
  <c r="D74" i="10"/>
  <c r="D111" i="10"/>
  <c r="D12" i="10"/>
  <c r="D37" i="10"/>
  <c r="C49" i="10"/>
  <c r="C61" i="10"/>
  <c r="D126" i="10"/>
  <c r="D55" i="10"/>
  <c r="C13" i="10"/>
  <c r="D164" i="10"/>
  <c r="C47" i="10"/>
  <c r="D76" i="10"/>
  <c r="D13" i="10"/>
  <c r="C67" i="10"/>
  <c r="D141" i="10"/>
  <c r="C147" i="10"/>
  <c r="D18" i="10"/>
  <c r="D85" i="10"/>
  <c r="C100" i="10"/>
  <c r="C120" i="10"/>
  <c r="D145" i="10"/>
  <c r="C27" i="10"/>
  <c r="D114" i="10"/>
  <c r="D95" i="10"/>
  <c r="D115" i="10"/>
  <c r="C153" i="10"/>
  <c r="D14" i="10"/>
  <c r="C18" i="10"/>
  <c r="D33" i="10"/>
  <c r="C43" i="10"/>
  <c r="C53" i="10"/>
  <c r="D62" i="10"/>
  <c r="C77" i="10"/>
  <c r="C86" i="10"/>
  <c r="D105" i="10"/>
  <c r="D125" i="10"/>
  <c r="D131" i="10"/>
  <c r="D147" i="10"/>
  <c r="C160" i="10"/>
  <c r="C166" i="10"/>
  <c r="C134" i="10"/>
  <c r="C157" i="10"/>
  <c r="D26" i="10"/>
  <c r="D75" i="10"/>
  <c r="C71" i="10"/>
  <c r="D157" i="10"/>
  <c r="D46" i="10"/>
  <c r="D22" i="10"/>
  <c r="D42" i="10"/>
  <c r="C106" i="10"/>
  <c r="D120" i="10"/>
  <c r="D77" i="10"/>
  <c r="D137" i="10"/>
  <c r="C143" i="10"/>
  <c r="D154" i="10"/>
  <c r="C98" i="10"/>
  <c r="C118" i="10"/>
  <c r="D36" i="10"/>
  <c r="C164" i="10"/>
  <c r="D56" i="10"/>
  <c r="D94" i="10"/>
  <c r="D152" i="10"/>
  <c r="C90" i="10"/>
  <c r="D38" i="10"/>
  <c r="C142" i="10"/>
  <c r="C116" i="10"/>
  <c r="D166" i="10"/>
  <c r="D58" i="10"/>
  <c r="C132" i="10"/>
  <c r="D29" i="10"/>
  <c r="D73" i="10"/>
  <c r="C82" i="10"/>
  <c r="C92" i="10"/>
  <c r="D96" i="10"/>
  <c r="D101" i="10"/>
  <c r="D116" i="10"/>
  <c r="D121" i="10"/>
  <c r="D132" i="10"/>
  <c r="C149" i="10"/>
  <c r="C51" i="10"/>
  <c r="C152" i="10"/>
  <c r="D135" i="10"/>
  <c r="C130" i="10"/>
  <c r="D66" i="10"/>
  <c r="C136" i="10"/>
  <c r="C14" i="10"/>
  <c r="C48" i="10"/>
  <c r="C62" i="10"/>
  <c r="D86" i="10"/>
  <c r="C91" i="10"/>
  <c r="D100" i="10"/>
  <c r="C111" i="10"/>
  <c r="D19" i="10"/>
  <c r="D53" i="10"/>
  <c r="C63" i="10"/>
  <c r="C73" i="10"/>
  <c r="C96" i="10"/>
  <c r="D160" i="10"/>
  <c r="D54" i="10"/>
  <c r="D143" i="10"/>
  <c r="D167" i="10"/>
  <c r="D134" i="10"/>
  <c r="D146" i="10"/>
  <c r="C110" i="10"/>
  <c r="D165" i="10"/>
  <c r="C23" i="10"/>
  <c r="C33" i="10"/>
  <c r="C126" i="10"/>
  <c r="C131" i="10"/>
  <c r="D34" i="10"/>
  <c r="C15" i="10"/>
  <c r="C20" i="10"/>
  <c r="C29" i="10"/>
  <c r="C39" i="10"/>
  <c r="D78" i="10"/>
  <c r="C87" i="10"/>
  <c r="E87" i="10" s="1"/>
  <c r="C101" i="10"/>
  <c r="C121" i="10"/>
  <c r="C11" i="10"/>
  <c r="D49" i="10"/>
  <c r="D92" i="10"/>
  <c r="C102" i="10"/>
  <c r="D112" i="10"/>
  <c r="C122" i="10"/>
  <c r="C162" i="10"/>
  <c r="C112" i="10"/>
  <c r="D142" i="10"/>
  <c r="D155" i="10"/>
  <c r="D151" i="10"/>
  <c r="D23" i="10"/>
  <c r="C35" i="10"/>
  <c r="D39" i="10"/>
  <c r="D43" i="10"/>
  <c r="C55" i="10"/>
  <c r="D59" i="10"/>
  <c r="D63" i="10"/>
  <c r="C75" i="10"/>
  <c r="D79" i="10"/>
  <c r="D82" i="10"/>
  <c r="C94" i="10"/>
  <c r="D98" i="10"/>
  <c r="D102" i="10"/>
  <c r="C114" i="10"/>
  <c r="D118" i="10"/>
  <c r="D122" i="10"/>
  <c r="C151" i="10"/>
  <c r="C76" i="10"/>
  <c r="C85" i="10"/>
  <c r="C95" i="10"/>
  <c r="C105" i="10"/>
  <c r="C115" i="10"/>
  <c r="C125" i="10"/>
  <c r="C135" i="10"/>
  <c r="C145" i="10"/>
  <c r="C155" i="10"/>
  <c r="C165" i="10"/>
  <c r="C26" i="9"/>
  <c r="C19" i="9"/>
  <c r="C21" i="9"/>
  <c r="C24" i="9"/>
  <c r="C14" i="9"/>
  <c r="C17" i="9"/>
  <c r="C23" i="9"/>
  <c r="C20" i="9"/>
  <c r="C13" i="9"/>
  <c r="B9" i="9"/>
  <c r="C22" i="9"/>
  <c r="C15" i="9"/>
  <c r="C25" i="9"/>
  <c r="C16" i="9"/>
  <c r="C18" i="9"/>
  <c r="A14" i="9"/>
  <c r="E149" i="8"/>
  <c r="F149" i="8" s="1"/>
  <c r="B150" i="8"/>
  <c r="A150" i="8"/>
  <c r="A151" i="8"/>
  <c r="B88" i="8"/>
  <c r="C87" i="8"/>
  <c r="C86" i="8"/>
  <c r="A87" i="8"/>
  <c r="B24" i="8"/>
  <c r="B25" i="8" s="1"/>
  <c r="B26" i="8" s="1"/>
  <c r="B27" i="8" s="1"/>
  <c r="B28" i="8" s="1"/>
  <c r="B29" i="8" s="1"/>
  <c r="B30" i="8" s="1"/>
  <c r="C23" i="8"/>
  <c r="C16" i="8"/>
  <c r="C22" i="8"/>
  <c r="C14" i="8"/>
  <c r="C17" i="8"/>
  <c r="C15" i="8"/>
  <c r="C21" i="8"/>
  <c r="C18" i="8"/>
  <c r="C20" i="8"/>
  <c r="C19" i="8"/>
  <c r="B9" i="8"/>
  <c r="A15" i="8"/>
  <c r="A14" i="8"/>
  <c r="C13" i="8"/>
  <c r="D74" i="5"/>
  <c r="E74" i="5"/>
  <c r="F74" i="5" s="1"/>
  <c r="C14" i="5"/>
  <c r="D15" i="5" s="1"/>
  <c r="B15" i="5"/>
  <c r="C15" i="5" s="1"/>
  <c r="E15" i="5" s="1"/>
  <c r="F15" i="5" s="1"/>
  <c r="B16" i="5"/>
  <c r="C13" i="5"/>
  <c r="B9" i="5"/>
  <c r="A13" i="5"/>
  <c r="C16" i="4"/>
  <c r="E16" i="4" s="1"/>
  <c r="F16" i="4" s="1"/>
  <c r="B9" i="4"/>
  <c r="A14" i="4"/>
  <c r="A15" i="4" s="1"/>
  <c r="A16" i="4" s="1"/>
  <c r="C15" i="4"/>
  <c r="C13" i="4"/>
  <c r="B9" i="3"/>
  <c r="C16" i="3"/>
  <c r="E16" i="3" s="1"/>
  <c r="F16" i="3" s="1"/>
  <c r="C17" i="3"/>
  <c r="C13" i="3"/>
  <c r="C18" i="3"/>
  <c r="A14" i="3"/>
  <c r="C14" i="3"/>
  <c r="C15" i="3"/>
  <c r="C14" i="1"/>
  <c r="E14" i="1" s="1"/>
  <c r="F14" i="1" s="1"/>
  <c r="C13" i="1"/>
  <c r="E13" i="1" s="1"/>
  <c r="F13" i="1" s="1"/>
  <c r="B9" i="2"/>
  <c r="A15" i="1"/>
  <c r="A16" i="1" s="1"/>
  <c r="C301" i="10" a="1"/>
  <c r="C300" i="10" a="1"/>
  <c r="C458" i="10" a="1"/>
  <c r="D297" i="10" a="1"/>
  <c r="D299" i="10" a="1"/>
  <c r="C289" i="10" a="1"/>
  <c r="D287" i="10" a="1"/>
  <c r="D290" i="10" a="1"/>
  <c r="C244" i="10" a="1"/>
  <c r="C236" i="10" a="1"/>
  <c r="D267" i="10" a="1"/>
  <c r="D277" i="10" a="1"/>
  <c r="C284" i="10" a="1"/>
  <c r="C296" i="10" a="1"/>
  <c r="C294" i="10" a="1"/>
  <c r="C260" i="10" a="1"/>
  <c r="C268" i="10" a="1"/>
  <c r="C278" i="10" a="1"/>
  <c r="C288" i="10" a="1"/>
  <c r="C256" i="10" a="1"/>
  <c r="C279" i="10" a="1"/>
  <c r="D247" i="10" a="1"/>
  <c r="C254" i="10" a="1"/>
  <c r="C274" i="10" a="1"/>
  <c r="C259" i="10" a="1"/>
  <c r="D270" i="10" a="1"/>
  <c r="C270" i="10" a="1"/>
  <c r="C238" i="10" a="1"/>
  <c r="C258" i="10" a="1"/>
  <c r="C240" i="10" a="1"/>
  <c r="C290" i="10" a="1"/>
  <c r="C234" i="10" a="1"/>
  <c r="C263" i="10" a="1"/>
  <c r="D250" i="10" a="1"/>
  <c r="C250" i="10" a="1"/>
  <c r="D257" i="10" a="1"/>
  <c r="C264" i="10" a="1"/>
  <c r="D237" i="10" a="1"/>
  <c r="C280" i="10" a="1"/>
  <c r="C286" i="10" a="1"/>
  <c r="C248" i="10" a="1"/>
  <c r="D260" i="10" a="1"/>
  <c r="D240" i="10" a="1"/>
  <c r="C249" i="10" a="1"/>
  <c r="C266" i="10" a="1"/>
  <c r="D280" i="10" a="1"/>
  <c r="C273" i="10" a="1"/>
  <c r="C233" i="10" a="1"/>
  <c r="C204" i="10" a="1"/>
  <c r="C229" i="10" a="1"/>
  <c r="C180" i="10" a="1"/>
  <c r="C198" i="10" a="1"/>
  <c r="C209" i="10" a="1"/>
  <c r="C175" i="10" a="1"/>
  <c r="D199" i="10" a="1"/>
  <c r="D219" i="10" a="1"/>
  <c r="D194" i="10" a="1"/>
  <c r="C208" i="10" a="1"/>
  <c r="D216" i="10" a="1"/>
  <c r="C170" i="10" a="1"/>
  <c r="C179" i="10" a="1"/>
  <c r="C188" i="10" a="1"/>
  <c r="C186" i="10" a="1"/>
  <c r="D183" i="10" a="1"/>
  <c r="C201" i="10" a="1"/>
  <c r="D176" i="10" a="1"/>
  <c r="C190" i="10" a="1"/>
  <c r="D228" i="10" a="1"/>
  <c r="C223" i="10" a="1"/>
  <c r="C210" i="10" a="1"/>
  <c r="D182" i="10" a="1"/>
  <c r="D174" i="10" a="1"/>
  <c r="D202" i="10" a="1"/>
  <c r="C230" i="10" a="1"/>
  <c r="D212" i="10" a="1"/>
  <c r="D189" i="10" a="1"/>
  <c r="C178" i="10" a="1"/>
  <c r="D214" i="10" a="1"/>
  <c r="C195" i="10" a="1"/>
  <c r="C205" i="10" a="1"/>
  <c r="C172" i="10" a="1"/>
  <c r="D185" i="10" a="1"/>
  <c r="C192" i="10" a="1"/>
  <c r="C203" i="10" a="1"/>
  <c r="C222" i="10" a="1"/>
  <c r="C169" i="10" a="1"/>
  <c r="C171" i="10" a="1"/>
  <c r="D173" i="10" a="1"/>
  <c r="C228" i="10" a="1"/>
  <c r="C193" i="10" a="1"/>
  <c r="C200" i="10" a="1"/>
  <c r="D211" i="10" a="1"/>
  <c r="C225" i="10" a="1"/>
  <c r="D213" i="10" a="1"/>
  <c r="C231" i="10" a="1"/>
  <c r="C220" i="10" a="1"/>
  <c r="D232" i="10" a="1"/>
  <c r="C196" i="10" a="1"/>
  <c r="C206" i="10" a="1"/>
  <c r="C226" i="10" a="1"/>
  <c r="D215" i="10" a="1"/>
  <c r="C218" i="10" a="1"/>
  <c r="D31" i="10" a="1"/>
  <c r="D99" i="10" a="1"/>
  <c r="D153" i="10" a="1"/>
  <c r="C108" i="10" a="1"/>
  <c r="C69" i="10" a="1"/>
  <c r="C124" i="10" a="1"/>
  <c r="C158" i="10" a="1"/>
  <c r="D161" i="10" a="1"/>
  <c r="D80" i="10" a="1"/>
  <c r="D84" i="10" a="1"/>
  <c r="D158" i="10" a="1"/>
  <c r="C161" i="10" a="1"/>
  <c r="D150" i="10" a="1"/>
  <c r="C38" i="10" a="1"/>
  <c r="C150" i="10" a="1"/>
  <c r="D148" i="10" a="1"/>
  <c r="C17" i="10" a="1"/>
  <c r="C21" i="10" a="1"/>
  <c r="D149" i="10" a="1"/>
  <c r="D67" i="10" a="1"/>
  <c r="C72" i="10" a="1"/>
  <c r="C36" i="10" a="1"/>
  <c r="C58" i="10" a="1"/>
  <c r="D57" i="10" a="1"/>
  <c r="C93" i="10" a="1"/>
  <c r="D109" i="10" a="1"/>
  <c r="D140" i="10" a="1"/>
  <c r="C65" i="10" a="1"/>
  <c r="C159" i="10" a="1"/>
  <c r="C50" i="10" a="1"/>
  <c r="C22" i="10" a="1"/>
  <c r="D47" i="10" a="1"/>
  <c r="C113" i="10" a="1"/>
  <c r="C74" i="10" a="1"/>
  <c r="C44" i="10" a="1"/>
  <c r="C12" i="10" a="1"/>
  <c r="C56" i="10" a="1"/>
  <c r="D21" i="10" a="1"/>
  <c r="D27" i="10" a="1"/>
  <c r="C37" i="10" a="1"/>
  <c r="C138" i="10" a="1"/>
  <c r="D24" i="10" a="1"/>
  <c r="C88" i="10" a="1"/>
  <c r="C46" i="10" a="1"/>
  <c r="C137" i="10" a="1"/>
  <c r="D41" i="10" a="1"/>
  <c r="C80" i="10" a="1"/>
  <c r="C52" i="10" a="1"/>
  <c r="D106" i="10" a="1"/>
  <c r="C128" i="10" a="1"/>
  <c r="D61" i="10" a="1"/>
  <c r="C148" i="10" a="1"/>
  <c r="D104" i="10" a="1"/>
  <c r="C54" i="10" a="1"/>
  <c r="D159" i="10" a="1"/>
  <c r="C78" i="10" a="1"/>
  <c r="C28" i="10" a="1"/>
  <c r="C167" i="10" a="1"/>
  <c r="D70" i="10" a="1"/>
  <c r="D138" i="10" a="1"/>
  <c r="C70" i="10" a="1"/>
  <c r="C97" i="10" a="1"/>
  <c r="C26" i="10" a="1"/>
  <c r="D88" i="10" a="1"/>
  <c r="D119" i="10" a="1"/>
  <c r="C103" i="10" a="1"/>
  <c r="D129" i="10" a="1"/>
  <c r="C31" i="10" a="1"/>
  <c r="C154" i="10" a="1"/>
  <c r="D123" i="10" a="1"/>
  <c r="D81" i="10" a="1"/>
  <c r="C10" i="10" a="1"/>
  <c r="C168" i="10" a="1"/>
  <c r="C123" i="10" a="1"/>
  <c r="C141" i="10" a="1"/>
  <c r="C68" i="10" a="1"/>
  <c r="D168" i="10" a="1"/>
  <c r="D113" i="10" a="1"/>
  <c r="C60" i="10" a="1"/>
  <c r="D163" i="10" a="1"/>
  <c r="C16" i="10" a="1"/>
  <c r="C163" i="10" a="1"/>
  <c r="D89" i="10" a="1"/>
  <c r="C32" i="10" a="1"/>
  <c r="C66" i="10" a="1"/>
  <c r="C14" i="7" a="1"/>
  <c r="C11" i="7" a="1"/>
  <c r="C12" i="7" a="1"/>
  <c r="D10" i="7" a="1"/>
  <c r="C13" i="7" a="1"/>
  <c r="D79" i="6" a="1"/>
  <c r="D147" i="6" a="1"/>
  <c r="D17" i="6" a="1"/>
  <c r="D146" i="6" a="1"/>
  <c r="D116" i="6" a="1"/>
  <c r="D68" i="6" a="1"/>
  <c r="D126" i="6" a="1"/>
  <c r="D115" i="6" a="1"/>
  <c r="D74" i="6" a="1"/>
  <c r="D30" i="6" a="1"/>
  <c r="D152" i="6" a="1"/>
  <c r="C149" i="6" a="1"/>
  <c r="C88" i="6" a="1"/>
  <c r="C87" i="6" a="1"/>
  <c r="C36" i="6" a="1"/>
  <c r="C144" i="6" a="1"/>
  <c r="C103" i="6" a="1"/>
  <c r="C82" i="6" a="1"/>
  <c r="C31" i="6" a="1"/>
  <c r="D153" i="6" a="1"/>
  <c r="D58" i="6" a="1"/>
  <c r="D64" i="6" a="1"/>
  <c r="D62" i="6" a="1"/>
  <c r="D72" i="6" a="1"/>
  <c r="C139" i="6" a="1"/>
  <c r="C78" i="6" a="1"/>
  <c r="C77" i="6" a="1"/>
  <c r="C16" i="6" a="1"/>
  <c r="C134" i="6" a="1"/>
  <c r="C93" i="6" a="1"/>
  <c r="C72" i="6" a="1"/>
  <c r="C11" i="6" a="1"/>
  <c r="C73" i="6" a="1"/>
  <c r="C150" i="6" a="1"/>
  <c r="D23" i="6" a="1"/>
  <c r="D31" i="6" a="1"/>
  <c r="C48" i="6" a="1"/>
  <c r="C145" i="6" a="1"/>
  <c r="C104" i="6" a="1"/>
  <c r="C42" i="6" a="1"/>
  <c r="C140" i="6" a="1"/>
  <c r="D18" i="6" a="1"/>
  <c r="D22" i="6" a="1"/>
  <c r="C37" i="6" a="1"/>
  <c r="C32" i="6" a="1"/>
  <c r="D167" i="6" a="1"/>
  <c r="D21" i="6" a="1"/>
  <c r="C27" i="6" a="1"/>
  <c r="C43" i="6" a="1"/>
  <c r="C120" i="6" a="1"/>
  <c r="D137" i="6" a="1"/>
  <c r="D46" i="6" a="1"/>
  <c r="D45" i="6" a="1"/>
  <c r="D60" i="6" a="1"/>
  <c r="C18" i="6" a="1"/>
  <c r="C115" i="6" a="1"/>
  <c r="C33" i="6" a="1"/>
  <c r="C110" i="6" a="1"/>
  <c r="D127" i="6" a="1"/>
  <c r="D12" i="6" a="1"/>
  <c r="C156" i="6" a="1"/>
  <c r="C23" i="6" a="1"/>
  <c r="C40" i="6" a="1"/>
  <c r="D43" i="6" a="1"/>
  <c r="D117" i="6" a="1"/>
  <c r="D25" i="6" a="1"/>
  <c r="D51" i="6" a="1"/>
  <c r="C59" i="6" a="1"/>
  <c r="C126" i="6" a="1"/>
  <c r="C54" i="6" a="1"/>
  <c r="C151" i="6" a="1"/>
  <c r="D168" i="6" a="1"/>
  <c r="D15" i="6" a="1"/>
  <c r="D82" i="6" a="1"/>
  <c r="C49" i="6" a="1"/>
  <c r="C106" i="6" a="1"/>
  <c r="C44" i="6" a="1"/>
  <c r="C141" i="6" a="1"/>
  <c r="D158" i="6" a="1"/>
  <c r="D123" i="6" a="1"/>
  <c r="D121" i="6" a="1"/>
  <c r="C56" i="6" a="1"/>
  <c r="C75" i="6" a="1"/>
  <c r="C21" i="6" a="1"/>
  <c r="C90" i="6" a="1"/>
  <c r="D148" i="6" a="1"/>
  <c r="D81" i="6" a="1"/>
  <c r="D20" i="6" a="1"/>
  <c r="C167" i="6" a="1"/>
  <c r="C65" i="6" a="1"/>
  <c r="C162" i="6" a="1"/>
  <c r="C80" i="6" a="1"/>
  <c r="D138" i="6" a="1"/>
  <c r="D67" i="6" a="1"/>
  <c r="D33" i="6" a="1"/>
  <c r="D144" i="6" a="1"/>
  <c r="D41" i="6" a="1"/>
  <c r="D11" i="6" a="1"/>
  <c r="C168" i="6" a="1"/>
  <c r="C157" i="6" a="1"/>
  <c r="C26" i="6" a="1"/>
  <c r="C55" i="6" a="1"/>
  <c r="C152" i="6" a="1"/>
  <c r="C111" i="6" a="1"/>
  <c r="C70" i="6" a="1"/>
  <c r="D59" i="6" a="1"/>
  <c r="D134" i="6" a="1"/>
  <c r="D141" i="6" a="1"/>
  <c r="C158" i="6" a="1"/>
  <c r="C166" i="6" a="1"/>
  <c r="C163" i="6" a="1"/>
  <c r="C91" i="6" a="1"/>
  <c r="D118" i="6" a="1"/>
  <c r="D165" i="6" a="1"/>
  <c r="D124" i="6" a="1"/>
  <c r="D120" i="6" a="1"/>
  <c r="C148" i="6" a="1"/>
  <c r="C146" i="6" a="1"/>
  <c r="C153" i="6" a="1"/>
  <c r="C81" i="6" a="1"/>
  <c r="D39" i="6" a="1"/>
  <c r="D155" i="6" a="1"/>
  <c r="D80" i="6" a="1"/>
  <c r="D132" i="6" a="1"/>
  <c r="D163" i="6" a="1"/>
  <c r="D83" i="6" a="1"/>
  <c r="D113" i="6" a="1"/>
  <c r="D48" i="6" a="1"/>
  <c r="D54" i="6" a="1"/>
  <c r="D52" i="6" a="1"/>
  <c r="D32" i="6" a="1"/>
  <c r="C129" i="6" a="1"/>
  <c r="C68" i="6" a="1"/>
  <c r="C67" i="6" a="1"/>
  <c r="C165" i="6" a="1"/>
  <c r="C124" i="6" a="1"/>
  <c r="C83" i="6" a="1"/>
  <c r="C62" i="6" a="1"/>
  <c r="C160" i="6" a="1"/>
  <c r="D63" i="6" a="1"/>
  <c r="D38" i="6" a="1"/>
  <c r="D86" i="6" a="1"/>
  <c r="D85" i="6" a="1"/>
  <c r="D44" i="6" a="1"/>
  <c r="D151" i="6" a="1"/>
  <c r="C119" i="6" a="1"/>
  <c r="C58" i="6" a="1"/>
  <c r="C57" i="6" a="1"/>
  <c r="C155" i="6" a="1"/>
  <c r="C114" i="6" a="1"/>
  <c r="C52" i="6" a="1"/>
  <c r="D28" i="6" a="1"/>
  <c r="D76" i="6" a="1"/>
  <c r="D75" i="6" a="1"/>
  <c r="D34" i="6" a="1"/>
  <c r="D70" i="6" a="1"/>
  <c r="C109" i="6" a="1"/>
  <c r="C47" i="6" a="1"/>
  <c r="C63" i="6" a="1"/>
  <c r="D157" i="6" a="1"/>
  <c r="D66" i="6" a="1"/>
  <c r="D65" i="6" a="1"/>
  <c r="D24" i="6" a="1"/>
  <c r="D110" i="6" a="1"/>
  <c r="C99" i="6" a="1"/>
  <c r="C38" i="6" a="1"/>
  <c r="C135" i="6" a="1"/>
  <c r="C94" i="6" a="1"/>
  <c r="C53" i="6" a="1"/>
  <c r="C130" i="6" a="1"/>
  <c r="D136" i="6" a="1"/>
  <c r="D56" i="6" a="1"/>
  <c r="D55" i="6" a="1"/>
  <c r="D14" i="6" a="1"/>
  <c r="D61" i="6" a="1"/>
  <c r="C89" i="6" a="1"/>
  <c r="C28" i="6" a="1"/>
  <c r="C125" i="6" a="1"/>
  <c r="C84" i="6" a="1"/>
  <c r="C22" i="6" a="1"/>
  <c r="D143" i="6" a="1"/>
  <c r="D133" i="6" a="1"/>
  <c r="C79" i="6" a="1"/>
  <c r="C17" i="6" a="1"/>
  <c r="C74" i="6" a="1"/>
  <c r="C12" i="6" a="1"/>
  <c r="D36" i="6" a="1"/>
  <c r="D35" i="6" a="1"/>
  <c r="D73" i="6" a="1"/>
  <c r="C69" i="6" a="1"/>
  <c r="C66" i="6" a="1"/>
  <c r="C105" i="6" a="1"/>
  <c r="C64" i="6" a="1"/>
  <c r="C161" i="6" a="1"/>
  <c r="D119" i="6" a="1"/>
  <c r="D26" i="6" a="1"/>
  <c r="D53" i="6" a="1"/>
  <c r="D50" i="6" a="1"/>
  <c r="C29" i="6" a="1"/>
  <c r="C95" i="6" a="1"/>
  <c r="C13" i="6" a="1"/>
  <c r="C20" i="6" a="1"/>
  <c r="D109" i="6" a="1"/>
  <c r="D16" i="6" a="1"/>
  <c r="D161" i="6" a="1"/>
  <c r="C128" i="6" a="1"/>
  <c r="C85" i="6" a="1"/>
  <c r="C101" i="6" a="1"/>
  <c r="C100" i="6" a="1"/>
  <c r="D87" i="6" a="1"/>
  <c r="D164" i="6" a="1"/>
  <c r="D111" i="6" a="1"/>
  <c r="C39" i="6" a="1"/>
  <c r="C86" i="6" a="1"/>
  <c r="C34" i="6" a="1"/>
  <c r="C131" i="6" a="1"/>
  <c r="D77" i="6" a="1"/>
  <c r="D93" i="6" a="1"/>
  <c r="D154" i="6" a="1"/>
  <c r="D150" i="6" a="1"/>
  <c r="C19" i="6" a="1"/>
  <c r="C46" i="6" a="1"/>
  <c r="C24" i="6" a="1"/>
  <c r="C121" i="6" a="1"/>
  <c r="D69" i="6" a="1"/>
  <c r="D142" i="6" a="1"/>
  <c r="C14" i="6" a="1"/>
  <c r="D128" i="6" a="1"/>
  <c r="D57" i="6" a="1"/>
  <c r="D162" i="6" a="1"/>
  <c r="D160" i="6" a="1"/>
  <c r="D42" i="6" a="1"/>
  <c r="C147" i="6" a="1"/>
  <c r="C45" i="6" a="1"/>
  <c r="C142" i="6" a="1"/>
  <c r="C60" i="6" a="1"/>
  <c r="D47" i="6" a="1"/>
  <c r="D140" i="6" a="1"/>
  <c r="C137" i="6" a="1"/>
  <c r="C35" i="6" a="1"/>
  <c r="C132" i="6" a="1"/>
  <c r="C50" i="6" a="1"/>
  <c r="D108" i="6" a="1"/>
  <c r="D37" i="6" a="1"/>
  <c r="D13" i="6" a="1"/>
  <c r="D169" i="6" a="1"/>
  <c r="D159" i="6" a="1"/>
  <c r="D149" i="6" a="1"/>
  <c r="D139" i="6" a="1"/>
  <c r="D129" i="6" a="1"/>
  <c r="D14" i="7" a="1"/>
  <c r="D49" i="6" a="1"/>
  <c r="D29" i="6" a="1"/>
  <c r="D19" i="6" a="1"/>
  <c r="D122" i="6" a="1"/>
  <c r="C154" i="6" a="1"/>
  <c r="C10" i="6" a="1"/>
  <c r="C169" i="6" a="1"/>
  <c r="D78" i="6" a="1"/>
  <c r="C113" i="6" a="1"/>
  <c r="C138" i="6" a="1"/>
  <c r="D166" i="6" a="1"/>
  <c r="C112" i="6" a="1"/>
  <c r="C102" i="6" a="1"/>
  <c r="D135" i="6" a="1"/>
  <c r="C61" i="6" a="1"/>
  <c r="C97" i="6" a="1"/>
  <c r="D10" i="6" a="1"/>
  <c r="C143" i="6" a="1"/>
  <c r="D88" i="6" a="1"/>
  <c r="C123" i="6" a="1"/>
  <c r="C159" i="6" a="1"/>
  <c r="D27" i="6" a="1"/>
  <c r="C122" i="6" a="1"/>
  <c r="C118" i="6" a="1"/>
  <c r="C108" i="6" a="1"/>
  <c r="C92" i="6" a="1"/>
  <c r="C117" i="6" a="1"/>
  <c r="C30" i="6" a="1"/>
  <c r="C133" i="6" a="1"/>
  <c r="C98" i="6" a="1"/>
  <c r="D125" i="6" a="1"/>
  <c r="C51" i="6" a="1"/>
  <c r="D84" i="6" a="1"/>
  <c r="C116" i="6" a="1"/>
  <c r="D112" i="6" a="1"/>
  <c r="D71" i="6" a="1"/>
  <c r="C15" i="6" a="1"/>
  <c r="C164" i="6" a="1"/>
  <c r="D145" i="6" a="1"/>
  <c r="C71" i="6" a="1"/>
  <c r="C107" i="6" a="1"/>
  <c r="C41" i="6" a="1"/>
  <c r="D40" i="6" a="1"/>
  <c r="C96" i="6" a="1"/>
  <c r="C76" i="6" a="1"/>
  <c r="C25" i="6" a="1"/>
  <c r="D131" i="6" a="1"/>
  <c r="D130" i="6" a="1"/>
  <c r="D156" i="6" a="1"/>
  <c r="C127" i="6" a="1"/>
  <c r="D114" i="6" a="1"/>
  <c r="C136" i="6" a="1"/>
  <c r="C10" i="7" a="1"/>
  <c r="E152" i="10" l="1"/>
  <c r="E20" i="10"/>
  <c r="E14" i="10"/>
  <c r="C301" i="10"/>
  <c r="E94" i="10"/>
  <c r="C17" i="4"/>
  <c r="C18" i="4"/>
  <c r="C19" i="4"/>
  <c r="D19" i="4" s="1"/>
  <c r="E276" i="10"/>
  <c r="E246" i="10"/>
  <c r="D299" i="10"/>
  <c r="E299" i="10" s="1"/>
  <c r="D297" i="10"/>
  <c r="E297" i="10" s="1"/>
  <c r="C458" i="10"/>
  <c r="E458" i="10" s="1"/>
  <c r="C300" i="10"/>
  <c r="E265" i="10"/>
  <c r="E51" i="10"/>
  <c r="E235" i="10"/>
  <c r="E271" i="10"/>
  <c r="E295" i="10"/>
  <c r="E282" i="10"/>
  <c r="E292" i="10"/>
  <c r="E272" i="10"/>
  <c r="C273" i="10"/>
  <c r="E273" i="10" s="1"/>
  <c r="D280" i="10"/>
  <c r="C266" i="10"/>
  <c r="E266" i="10" s="1"/>
  <c r="C249" i="10"/>
  <c r="E249" i="10" s="1"/>
  <c r="D240" i="10"/>
  <c r="D260" i="10"/>
  <c r="C248" i="10"/>
  <c r="E248" i="10" s="1"/>
  <c r="C286" i="10"/>
  <c r="E286" i="10" s="1"/>
  <c r="C280" i="10"/>
  <c r="D237" i="10"/>
  <c r="C264" i="10"/>
  <c r="E264" i="10" s="1"/>
  <c r="D257" i="10"/>
  <c r="E257" i="10" s="1"/>
  <c r="C250" i="10"/>
  <c r="D250" i="10"/>
  <c r="C263" i="10"/>
  <c r="E263" i="10" s="1"/>
  <c r="C234" i="10"/>
  <c r="E234" i="10" s="1"/>
  <c r="C290" i="10"/>
  <c r="C240" i="10"/>
  <c r="C258" i="10"/>
  <c r="E258" i="10" s="1"/>
  <c r="C238" i="10"/>
  <c r="E238" i="10" s="1"/>
  <c r="C270" i="10"/>
  <c r="D270" i="10"/>
  <c r="C259" i="10"/>
  <c r="E259" i="10" s="1"/>
  <c r="C274" i="10"/>
  <c r="E274" i="10" s="1"/>
  <c r="C254" i="10"/>
  <c r="E254" i="10" s="1"/>
  <c r="D247" i="10"/>
  <c r="E247" i="10" s="1"/>
  <c r="C279" i="10"/>
  <c r="E279" i="10" s="1"/>
  <c r="C256" i="10"/>
  <c r="E256" i="10" s="1"/>
  <c r="C288" i="10"/>
  <c r="E288" i="10" s="1"/>
  <c r="C278" i="10"/>
  <c r="E278" i="10" s="1"/>
  <c r="C268" i="10"/>
  <c r="E268" i="10" s="1"/>
  <c r="C260" i="10"/>
  <c r="C294" i="10"/>
  <c r="E294" i="10" s="1"/>
  <c r="C296" i="10"/>
  <c r="C284" i="10"/>
  <c r="E284" i="10" s="1"/>
  <c r="D277" i="10"/>
  <c r="E277" i="10" s="1"/>
  <c r="D267" i="10"/>
  <c r="E267" i="10" s="1"/>
  <c r="C236" i="10"/>
  <c r="E236" i="10" s="1"/>
  <c r="C244" i="10"/>
  <c r="E244" i="10" s="1"/>
  <c r="D290" i="10"/>
  <c r="D287" i="10"/>
  <c r="E287" i="10" s="1"/>
  <c r="C289" i="10"/>
  <c r="E289" i="10" s="1"/>
  <c r="E291" i="10"/>
  <c r="E269" i="10"/>
  <c r="E281" i="10"/>
  <c r="E253" i="10"/>
  <c r="E187" i="10"/>
  <c r="E293" i="10"/>
  <c r="E285" i="10"/>
  <c r="E237" i="10"/>
  <c r="E239" i="10"/>
  <c r="E283" i="10"/>
  <c r="E177" i="10"/>
  <c r="E262" i="10"/>
  <c r="E242" i="10"/>
  <c r="E261" i="10"/>
  <c r="E251" i="10"/>
  <c r="E121" i="10"/>
  <c r="E221" i="10"/>
  <c r="E255" i="10"/>
  <c r="E243" i="10"/>
  <c r="E252" i="10"/>
  <c r="E101" i="10"/>
  <c r="E181" i="10"/>
  <c r="E245" i="10"/>
  <c r="C233" i="10"/>
  <c r="E233" i="10" s="1"/>
  <c r="E126" i="10"/>
  <c r="E217" i="10"/>
  <c r="C218" i="10"/>
  <c r="E218" i="10" s="1"/>
  <c r="D215" i="10"/>
  <c r="E215" i="10" s="1"/>
  <c r="C226" i="10"/>
  <c r="E226" i="10" s="1"/>
  <c r="C206" i="10"/>
  <c r="E206" i="10" s="1"/>
  <c r="C196" i="10"/>
  <c r="E196" i="10" s="1"/>
  <c r="D232" i="10"/>
  <c r="E232" i="10" s="1"/>
  <c r="C220" i="10"/>
  <c r="E220" i="10" s="1"/>
  <c r="C231" i="10"/>
  <c r="E231" i="10" s="1"/>
  <c r="D213" i="10"/>
  <c r="E213" i="10" s="1"/>
  <c r="C225" i="10"/>
  <c r="E225" i="10" s="1"/>
  <c r="D211" i="10"/>
  <c r="E211" i="10" s="1"/>
  <c r="C200" i="10"/>
  <c r="E200" i="10" s="1"/>
  <c r="C193" i="10"/>
  <c r="E193" i="10" s="1"/>
  <c r="C228" i="10"/>
  <c r="D173" i="10"/>
  <c r="E173" i="10" s="1"/>
  <c r="C171" i="10"/>
  <c r="E171" i="10" s="1"/>
  <c r="C169" i="10"/>
  <c r="E169" i="10" s="1"/>
  <c r="C222" i="10"/>
  <c r="E222" i="10" s="1"/>
  <c r="C203" i="10"/>
  <c r="E203" i="10" s="1"/>
  <c r="C192" i="10"/>
  <c r="E192" i="10" s="1"/>
  <c r="D185" i="10"/>
  <c r="E185" i="10" s="1"/>
  <c r="C172" i="10"/>
  <c r="E172" i="10" s="1"/>
  <c r="C205" i="10"/>
  <c r="E205" i="10" s="1"/>
  <c r="C195" i="10"/>
  <c r="E195" i="10" s="1"/>
  <c r="D214" i="10"/>
  <c r="E214" i="10" s="1"/>
  <c r="C178" i="10"/>
  <c r="E178" i="10" s="1"/>
  <c r="D189" i="10"/>
  <c r="E189" i="10" s="1"/>
  <c r="D212" i="10"/>
  <c r="E212" i="10" s="1"/>
  <c r="C230" i="10"/>
  <c r="E230" i="10" s="1"/>
  <c r="D202" i="10"/>
  <c r="E202" i="10" s="1"/>
  <c r="D174" i="10"/>
  <c r="E174" i="10" s="1"/>
  <c r="D182" i="10"/>
  <c r="E182" i="10" s="1"/>
  <c r="C210" i="10"/>
  <c r="E210" i="10" s="1"/>
  <c r="C223" i="10"/>
  <c r="E223" i="10" s="1"/>
  <c r="D228" i="10"/>
  <c r="C190" i="10"/>
  <c r="E190" i="10" s="1"/>
  <c r="D176" i="10"/>
  <c r="E176" i="10" s="1"/>
  <c r="C201" i="10"/>
  <c r="E201" i="10" s="1"/>
  <c r="D183" i="10"/>
  <c r="E183" i="10" s="1"/>
  <c r="C186" i="10"/>
  <c r="E186" i="10" s="1"/>
  <c r="C188" i="10"/>
  <c r="E188" i="10" s="1"/>
  <c r="C179" i="10"/>
  <c r="E179" i="10" s="1"/>
  <c r="C170" i="10"/>
  <c r="E170" i="10" s="1"/>
  <c r="D216" i="10"/>
  <c r="E216" i="10" s="1"/>
  <c r="C208" i="10"/>
  <c r="E208" i="10" s="1"/>
  <c r="D194" i="10"/>
  <c r="E194" i="10" s="1"/>
  <c r="D219" i="10"/>
  <c r="E219" i="10" s="1"/>
  <c r="D199" i="10"/>
  <c r="E199" i="10" s="1"/>
  <c r="C175" i="10"/>
  <c r="E175" i="10" s="1"/>
  <c r="C209" i="10"/>
  <c r="E209" i="10" s="1"/>
  <c r="C198" i="10"/>
  <c r="E198" i="10" s="1"/>
  <c r="C180" i="10"/>
  <c r="E180" i="10" s="1"/>
  <c r="C229" i="10"/>
  <c r="E229" i="10" s="1"/>
  <c r="C204" i="10"/>
  <c r="E204" i="10" s="1"/>
  <c r="E42" i="10"/>
  <c r="E166" i="10"/>
  <c r="E191" i="10"/>
  <c r="E100" i="10"/>
  <c r="E34" i="10"/>
  <c r="E11" i="10"/>
  <c r="E120" i="10"/>
  <c r="E197" i="10"/>
  <c r="E164" i="10"/>
  <c r="E207" i="10"/>
  <c r="E155" i="10"/>
  <c r="E55" i="10"/>
  <c r="E39" i="10"/>
  <c r="E227" i="10"/>
  <c r="E184" i="10"/>
  <c r="E224" i="10"/>
  <c r="E90" i="10"/>
  <c r="E157" i="10"/>
  <c r="E165" i="10"/>
  <c r="E75" i="10"/>
  <c r="E156" i="10"/>
  <c r="E29" i="10"/>
  <c r="E86" i="10"/>
  <c r="E125" i="10"/>
  <c r="E77" i="10"/>
  <c r="E127" i="10"/>
  <c r="E118" i="10"/>
  <c r="E115" i="10"/>
  <c r="E112" i="10"/>
  <c r="E95" i="10"/>
  <c r="E64" i="10"/>
  <c r="C66" i="10"/>
  <c r="E66" i="10" s="1"/>
  <c r="C32" i="10"/>
  <c r="E32" i="10" s="1"/>
  <c r="D89" i="10"/>
  <c r="E89" i="10" s="1"/>
  <c r="C163" i="10"/>
  <c r="C16" i="10"/>
  <c r="E16" i="10" s="1"/>
  <c r="D163" i="10"/>
  <c r="C60" i="10"/>
  <c r="E60" i="10" s="1"/>
  <c r="D113" i="10"/>
  <c r="D168" i="10"/>
  <c r="C68" i="10"/>
  <c r="E68" i="10" s="1"/>
  <c r="C141" i="10"/>
  <c r="E141" i="10" s="1"/>
  <c r="C123" i="10"/>
  <c r="C168" i="10"/>
  <c r="C10" i="10"/>
  <c r="E10" i="10" s="1"/>
  <c r="D81" i="10"/>
  <c r="E81" i="10" s="1"/>
  <c r="D123" i="10"/>
  <c r="C154" i="10"/>
  <c r="E154" i="10" s="1"/>
  <c r="C31" i="10"/>
  <c r="D129" i="10"/>
  <c r="E129" i="10" s="1"/>
  <c r="C103" i="10"/>
  <c r="E103" i="10" s="1"/>
  <c r="D119" i="10"/>
  <c r="E119" i="10" s="1"/>
  <c r="D88" i="10"/>
  <c r="C26" i="10"/>
  <c r="E26" i="10" s="1"/>
  <c r="C97" i="10"/>
  <c r="E97" i="10" s="1"/>
  <c r="C70" i="10"/>
  <c r="D138" i="10"/>
  <c r="D70" i="10"/>
  <c r="C167" i="10"/>
  <c r="E167" i="10" s="1"/>
  <c r="C28" i="10"/>
  <c r="E28" i="10" s="1"/>
  <c r="C78" i="10"/>
  <c r="E78" i="10" s="1"/>
  <c r="D159" i="10"/>
  <c r="C54" i="10"/>
  <c r="E54" i="10" s="1"/>
  <c r="D104" i="10"/>
  <c r="E104" i="10" s="1"/>
  <c r="C148" i="10"/>
  <c r="D61" i="10"/>
  <c r="C128" i="10"/>
  <c r="E128" i="10" s="1"/>
  <c r="D106" i="10"/>
  <c r="E106" i="10" s="1"/>
  <c r="C52" i="10"/>
  <c r="E52" i="10" s="1"/>
  <c r="C80" i="10"/>
  <c r="D41" i="10"/>
  <c r="E41" i="10" s="1"/>
  <c r="C137" i="10"/>
  <c r="E137" i="10" s="1"/>
  <c r="C46" i="10"/>
  <c r="E46" i="10" s="1"/>
  <c r="C88" i="10"/>
  <c r="D24" i="10"/>
  <c r="E24" i="10" s="1"/>
  <c r="C138" i="10"/>
  <c r="C37" i="10"/>
  <c r="E37" i="10" s="1"/>
  <c r="D27" i="10"/>
  <c r="E27" i="10" s="1"/>
  <c r="D21" i="10"/>
  <c r="C56" i="10"/>
  <c r="E56" i="10" s="1"/>
  <c r="C12" i="10"/>
  <c r="E12" i="10" s="1"/>
  <c r="C44" i="10"/>
  <c r="E44" i="10" s="1"/>
  <c r="C74" i="10"/>
  <c r="E74" i="10" s="1"/>
  <c r="C113" i="10"/>
  <c r="D47" i="10"/>
  <c r="E47" i="10" s="1"/>
  <c r="C22" i="10"/>
  <c r="E22" i="10" s="1"/>
  <c r="C50" i="10"/>
  <c r="E50" i="10" s="1"/>
  <c r="C159" i="10"/>
  <c r="C65" i="10"/>
  <c r="E65" i="10" s="1"/>
  <c r="D140" i="10"/>
  <c r="E140" i="10" s="1"/>
  <c r="D109" i="10"/>
  <c r="E109" i="10" s="1"/>
  <c r="C93" i="10"/>
  <c r="E93" i="10" s="1"/>
  <c r="D57" i="10"/>
  <c r="E57" i="10" s="1"/>
  <c r="C58" i="10"/>
  <c r="E58" i="10" s="1"/>
  <c r="C36" i="10"/>
  <c r="E36" i="10" s="1"/>
  <c r="C72" i="10"/>
  <c r="E72" i="10" s="1"/>
  <c r="D67" i="10"/>
  <c r="E67" i="10" s="1"/>
  <c r="D149" i="10"/>
  <c r="E149" i="10" s="1"/>
  <c r="C21" i="10"/>
  <c r="C17" i="10"/>
  <c r="E17" i="10" s="1"/>
  <c r="D148" i="10"/>
  <c r="C150" i="10"/>
  <c r="C38" i="10"/>
  <c r="E38" i="10" s="1"/>
  <c r="D150" i="10"/>
  <c r="C161" i="10"/>
  <c r="D158" i="10"/>
  <c r="D84" i="10"/>
  <c r="E84" i="10" s="1"/>
  <c r="D80" i="10"/>
  <c r="D161" i="10"/>
  <c r="C158" i="10"/>
  <c r="C124" i="10"/>
  <c r="E124" i="10" s="1"/>
  <c r="C69" i="10"/>
  <c r="E69" i="10" s="1"/>
  <c r="C108" i="10"/>
  <c r="E108" i="10" s="1"/>
  <c r="D153" i="10"/>
  <c r="E153" i="10" s="1"/>
  <c r="D99" i="10"/>
  <c r="E99" i="10" s="1"/>
  <c r="D31" i="10"/>
  <c r="E134" i="10"/>
  <c r="E160" i="10"/>
  <c r="E96" i="10"/>
  <c r="E73" i="10"/>
  <c r="E63" i="10"/>
  <c r="E98" i="10"/>
  <c r="E147" i="10"/>
  <c r="E107" i="10"/>
  <c r="E139" i="10"/>
  <c r="E53" i="10"/>
  <c r="E19" i="10"/>
  <c r="E131" i="10"/>
  <c r="E43" i="10"/>
  <c r="E85" i="10"/>
  <c r="E62" i="10"/>
  <c r="E13" i="10"/>
  <c r="E30" i="10"/>
  <c r="E76" i="10"/>
  <c r="E33" i="10"/>
  <c r="E48" i="10"/>
  <c r="E18" i="10"/>
  <c r="E59" i="10"/>
  <c r="E135" i="10"/>
  <c r="E111" i="10"/>
  <c r="E116" i="10"/>
  <c r="E83" i="10"/>
  <c r="E40" i="10"/>
  <c r="E144" i="10"/>
  <c r="E92" i="10"/>
  <c r="E143" i="10"/>
  <c r="E15" i="10"/>
  <c r="E91" i="10"/>
  <c r="E132" i="10"/>
  <c r="E122" i="10"/>
  <c r="E110" i="10"/>
  <c r="E142" i="10"/>
  <c r="E71" i="10"/>
  <c r="E49" i="10"/>
  <c r="E117" i="10"/>
  <c r="E102" i="10"/>
  <c r="E145" i="10"/>
  <c r="E82" i="10"/>
  <c r="E35" i="10"/>
  <c r="E105" i="10"/>
  <c r="E79" i="10"/>
  <c r="E151" i="10"/>
  <c r="E23" i="10"/>
  <c r="E162" i="10"/>
  <c r="E136" i="10"/>
  <c r="E61" i="10"/>
  <c r="E45" i="10"/>
  <c r="E25" i="10"/>
  <c r="E114" i="10"/>
  <c r="E130" i="10"/>
  <c r="E146" i="10"/>
  <c r="E133" i="10"/>
  <c r="C27" i="9"/>
  <c r="D27" i="9" s="1"/>
  <c r="D26" i="9"/>
  <c r="E25" i="9"/>
  <c r="F25" i="9" s="1"/>
  <c r="E14" i="9"/>
  <c r="F14" i="9" s="1"/>
  <c r="D15" i="9"/>
  <c r="E16" i="9"/>
  <c r="F16" i="9" s="1"/>
  <c r="D17" i="9"/>
  <c r="D22" i="9"/>
  <c r="E21" i="9"/>
  <c r="F21" i="9" s="1"/>
  <c r="D14" i="9"/>
  <c r="E13" i="9"/>
  <c r="F13" i="9" s="1"/>
  <c r="D16" i="9"/>
  <c r="E15" i="9"/>
  <c r="F15" i="9" s="1"/>
  <c r="D21" i="9"/>
  <c r="E20" i="9"/>
  <c r="F20" i="9" s="1"/>
  <c r="E24" i="9"/>
  <c r="F24" i="9" s="1"/>
  <c r="D25" i="9"/>
  <c r="D23" i="9"/>
  <c r="E22" i="9"/>
  <c r="F22" i="9" s="1"/>
  <c r="D24" i="9"/>
  <c r="E23" i="9"/>
  <c r="F23" i="9" s="1"/>
  <c r="E17" i="9"/>
  <c r="F17" i="9" s="1"/>
  <c r="D18" i="9"/>
  <c r="E26" i="9"/>
  <c r="F26" i="9" s="1"/>
  <c r="A15" i="9"/>
  <c r="A16" i="9" s="1"/>
  <c r="D20" i="9"/>
  <c r="E19" i="9"/>
  <c r="F19" i="9" s="1"/>
  <c r="D19" i="9"/>
  <c r="E18" i="9"/>
  <c r="F18" i="9" s="1"/>
  <c r="C28" i="9"/>
  <c r="A152" i="8"/>
  <c r="B151" i="8"/>
  <c r="C150" i="8"/>
  <c r="A153" i="8"/>
  <c r="E86" i="8"/>
  <c r="F86" i="8" s="1"/>
  <c r="D87" i="8"/>
  <c r="E87" i="8"/>
  <c r="F87" i="8" s="1"/>
  <c r="C88" i="8"/>
  <c r="D88" i="8" s="1"/>
  <c r="B89" i="8"/>
  <c r="A89" i="8"/>
  <c r="A88" i="8"/>
  <c r="B31" i="8"/>
  <c r="C30" i="8"/>
  <c r="D14" i="8"/>
  <c r="E13" i="8"/>
  <c r="F13" i="8" s="1"/>
  <c r="E20" i="8"/>
  <c r="F20" i="8" s="1"/>
  <c r="D21" i="8"/>
  <c r="A19" i="8"/>
  <c r="A16" i="8"/>
  <c r="A17" i="8"/>
  <c r="C25" i="8"/>
  <c r="D17" i="8"/>
  <c r="E16" i="8"/>
  <c r="F16" i="8" s="1"/>
  <c r="D20" i="8"/>
  <c r="E19" i="8"/>
  <c r="F19" i="8" s="1"/>
  <c r="C26" i="8"/>
  <c r="C27" i="8"/>
  <c r="E18" i="8"/>
  <c r="F18" i="8" s="1"/>
  <c r="D19" i="8"/>
  <c r="D18" i="8"/>
  <c r="E17" i="8"/>
  <c r="F17" i="8" s="1"/>
  <c r="C24" i="8"/>
  <c r="D24" i="8" s="1"/>
  <c r="C29" i="8"/>
  <c r="E21" i="8"/>
  <c r="F21" i="8" s="1"/>
  <c r="D22" i="8"/>
  <c r="D15" i="8"/>
  <c r="E14" i="8"/>
  <c r="F14" i="8" s="1"/>
  <c r="E22" i="8"/>
  <c r="F22" i="8" s="1"/>
  <c r="D23" i="8"/>
  <c r="E15" i="8"/>
  <c r="F15" i="8" s="1"/>
  <c r="D16" i="8"/>
  <c r="A18" i="8"/>
  <c r="C28" i="8"/>
  <c r="E23" i="8"/>
  <c r="F23" i="8" s="1"/>
  <c r="C136" i="6"/>
  <c r="D114" i="6"/>
  <c r="C127" i="6"/>
  <c r="D156" i="6"/>
  <c r="D130" i="6"/>
  <c r="D131" i="6"/>
  <c r="C25" i="6"/>
  <c r="C76" i="6"/>
  <c r="C96" i="6"/>
  <c r="D40" i="6"/>
  <c r="C41" i="6"/>
  <c r="C107" i="6"/>
  <c r="C71" i="6"/>
  <c r="D145" i="6"/>
  <c r="C164" i="6"/>
  <c r="C15" i="6"/>
  <c r="D71" i="6"/>
  <c r="D112" i="6"/>
  <c r="C116" i="6"/>
  <c r="D84" i="6"/>
  <c r="C51" i="6"/>
  <c r="D125" i="6"/>
  <c r="C98" i="6"/>
  <c r="C133" i="6"/>
  <c r="C30" i="6"/>
  <c r="C117" i="6"/>
  <c r="C92" i="6"/>
  <c r="C108" i="6"/>
  <c r="C118" i="6"/>
  <c r="C122" i="6"/>
  <c r="D27" i="6"/>
  <c r="C159" i="6"/>
  <c r="C123" i="6"/>
  <c r="D88" i="6"/>
  <c r="C143" i="6"/>
  <c r="D10" i="6"/>
  <c r="C97" i="6"/>
  <c r="C61" i="6"/>
  <c r="D135" i="6"/>
  <c r="C102" i="6"/>
  <c r="C112" i="6"/>
  <c r="D166" i="6"/>
  <c r="C138" i="6"/>
  <c r="C113" i="6"/>
  <c r="D78" i="6"/>
  <c r="C169" i="6"/>
  <c r="C10" i="6"/>
  <c r="C154" i="6"/>
  <c r="D122" i="6"/>
  <c r="D19" i="6"/>
  <c r="D29" i="6"/>
  <c r="D49" i="6"/>
  <c r="D14" i="7"/>
  <c r="D129" i="6"/>
  <c r="D139" i="6"/>
  <c r="D149" i="6"/>
  <c r="D159" i="6"/>
  <c r="D169" i="6"/>
  <c r="D13" i="6"/>
  <c r="D37" i="6"/>
  <c r="D108" i="6"/>
  <c r="C50" i="6"/>
  <c r="C132" i="6"/>
  <c r="C35" i="6"/>
  <c r="C137" i="6"/>
  <c r="D140" i="6"/>
  <c r="D47" i="6"/>
  <c r="C60" i="6"/>
  <c r="C142" i="6"/>
  <c r="C45" i="6"/>
  <c r="C147" i="6"/>
  <c r="D42" i="6"/>
  <c r="D160" i="6"/>
  <c r="D162" i="6"/>
  <c r="D57" i="6"/>
  <c r="D128" i="6"/>
  <c r="C14" i="6"/>
  <c r="D142" i="6"/>
  <c r="D69" i="6"/>
  <c r="C121" i="6"/>
  <c r="C24" i="6"/>
  <c r="C46" i="6"/>
  <c r="C19" i="6"/>
  <c r="D150" i="6"/>
  <c r="D154" i="6"/>
  <c r="D93" i="6"/>
  <c r="D77" i="6"/>
  <c r="C131" i="6"/>
  <c r="C34" i="6"/>
  <c r="C86" i="6"/>
  <c r="C39" i="6"/>
  <c r="D111" i="6"/>
  <c r="D164" i="6"/>
  <c r="D87" i="6"/>
  <c r="C100" i="6"/>
  <c r="C101" i="6"/>
  <c r="C85" i="6"/>
  <c r="C128" i="6"/>
  <c r="D161" i="6"/>
  <c r="D16" i="6"/>
  <c r="D109" i="6"/>
  <c r="C20" i="6"/>
  <c r="C13" i="6"/>
  <c r="C95" i="6"/>
  <c r="C29" i="6"/>
  <c r="D50" i="6"/>
  <c r="D53" i="6"/>
  <c r="D26" i="6"/>
  <c r="D119" i="6"/>
  <c r="C161" i="6"/>
  <c r="C64" i="6"/>
  <c r="C105" i="6"/>
  <c r="C66" i="6"/>
  <c r="C69" i="6"/>
  <c r="D73" i="6"/>
  <c r="D35" i="6"/>
  <c r="D36" i="6"/>
  <c r="C12" i="6"/>
  <c r="C74" i="6"/>
  <c r="C17" i="6"/>
  <c r="C79" i="6"/>
  <c r="D133" i="6"/>
  <c r="D143" i="6"/>
  <c r="C22" i="6"/>
  <c r="C84" i="6"/>
  <c r="C125" i="6"/>
  <c r="C28" i="6"/>
  <c r="C89" i="6"/>
  <c r="D61" i="6"/>
  <c r="D14" i="6"/>
  <c r="D55" i="6"/>
  <c r="D56" i="6"/>
  <c r="D136" i="6"/>
  <c r="C130" i="6"/>
  <c r="C53" i="6"/>
  <c r="C94" i="6"/>
  <c r="C135" i="6"/>
  <c r="C38" i="6"/>
  <c r="C99" i="6"/>
  <c r="D110" i="6"/>
  <c r="D24" i="6"/>
  <c r="D65" i="6"/>
  <c r="D66" i="6"/>
  <c r="D157" i="6"/>
  <c r="C63" i="6"/>
  <c r="C47" i="6"/>
  <c r="C109" i="6"/>
  <c r="D70" i="6"/>
  <c r="D34" i="6"/>
  <c r="D75" i="6"/>
  <c r="D76" i="6"/>
  <c r="D28" i="6"/>
  <c r="C52" i="6"/>
  <c r="C114" i="6"/>
  <c r="C155" i="6"/>
  <c r="C57" i="6"/>
  <c r="C58" i="6"/>
  <c r="C119" i="6"/>
  <c r="D151" i="6"/>
  <c r="D44" i="6"/>
  <c r="D85" i="6"/>
  <c r="D86" i="6"/>
  <c r="D38" i="6"/>
  <c r="D63" i="6"/>
  <c r="C160" i="6"/>
  <c r="C62" i="6"/>
  <c r="C83" i="6"/>
  <c r="C124" i="6"/>
  <c r="C165" i="6"/>
  <c r="C67" i="6"/>
  <c r="C68" i="6"/>
  <c r="C129" i="6"/>
  <c r="D32" i="6"/>
  <c r="D52" i="6"/>
  <c r="D54" i="6"/>
  <c r="D48" i="6"/>
  <c r="D113" i="6"/>
  <c r="D83" i="6"/>
  <c r="D163" i="6"/>
  <c r="D132" i="6"/>
  <c r="D80" i="6"/>
  <c r="D155" i="6"/>
  <c r="D39" i="6"/>
  <c r="C81" i="6"/>
  <c r="C153" i="6"/>
  <c r="C146" i="6"/>
  <c r="C148" i="6"/>
  <c r="D120" i="6"/>
  <c r="D124" i="6"/>
  <c r="D165" i="6"/>
  <c r="D118" i="6"/>
  <c r="C91" i="6"/>
  <c r="C163" i="6"/>
  <c r="C166" i="6"/>
  <c r="C158" i="6"/>
  <c r="D141" i="6"/>
  <c r="D134" i="6"/>
  <c r="D59" i="6"/>
  <c r="C70" i="6"/>
  <c r="C111" i="6"/>
  <c r="C152" i="6"/>
  <c r="C55" i="6"/>
  <c r="C26" i="6"/>
  <c r="C157" i="6"/>
  <c r="C168" i="6"/>
  <c r="D11" i="6"/>
  <c r="D41" i="6"/>
  <c r="D144" i="6"/>
  <c r="D33" i="6"/>
  <c r="D67" i="6"/>
  <c r="D138" i="6"/>
  <c r="C80" i="6"/>
  <c r="C162" i="6"/>
  <c r="C65" i="6"/>
  <c r="C167" i="6"/>
  <c r="D20" i="6"/>
  <c r="D81" i="6"/>
  <c r="D148" i="6"/>
  <c r="C90" i="6"/>
  <c r="C21" i="6"/>
  <c r="C75" i="6"/>
  <c r="C56" i="6"/>
  <c r="D121" i="6"/>
  <c r="D123" i="6"/>
  <c r="D158" i="6"/>
  <c r="C141" i="6"/>
  <c r="C44" i="6"/>
  <c r="C106" i="6"/>
  <c r="C49" i="6"/>
  <c r="D82" i="6"/>
  <c r="D15" i="6"/>
  <c r="D168" i="6"/>
  <c r="C151" i="6"/>
  <c r="C54" i="6"/>
  <c r="C126" i="6"/>
  <c r="C59" i="6"/>
  <c r="D51" i="6"/>
  <c r="D25" i="6"/>
  <c r="D117" i="6"/>
  <c r="D43" i="6"/>
  <c r="C40" i="6"/>
  <c r="C23" i="6"/>
  <c r="C156" i="6"/>
  <c r="D12" i="6"/>
  <c r="D127" i="6"/>
  <c r="C110" i="6"/>
  <c r="C33" i="6"/>
  <c r="C115" i="6"/>
  <c r="C18" i="6"/>
  <c r="D60" i="6"/>
  <c r="D45" i="6"/>
  <c r="D46" i="6"/>
  <c r="D137" i="6"/>
  <c r="C120" i="6"/>
  <c r="C43" i="6"/>
  <c r="C27" i="6"/>
  <c r="D21" i="6"/>
  <c r="D167" i="6"/>
  <c r="C32" i="6"/>
  <c r="C37" i="6"/>
  <c r="D22" i="6"/>
  <c r="D18" i="6"/>
  <c r="C140" i="6"/>
  <c r="C42" i="6"/>
  <c r="C104" i="6"/>
  <c r="C145" i="6"/>
  <c r="C48" i="6"/>
  <c r="D31" i="6"/>
  <c r="D23" i="6"/>
  <c r="C150" i="6"/>
  <c r="C73" i="6"/>
  <c r="C11" i="6"/>
  <c r="C72" i="6"/>
  <c r="C93" i="6"/>
  <c r="C134" i="6"/>
  <c r="C16" i="6"/>
  <c r="C77" i="6"/>
  <c r="C78" i="6"/>
  <c r="C139" i="6"/>
  <c r="D72" i="6"/>
  <c r="D62" i="6"/>
  <c r="D64" i="6"/>
  <c r="D58" i="6"/>
  <c r="D153" i="6"/>
  <c r="C31" i="6"/>
  <c r="C82" i="6"/>
  <c r="C103" i="6"/>
  <c r="C144" i="6"/>
  <c r="C36" i="6"/>
  <c r="C87" i="6"/>
  <c r="C88" i="6"/>
  <c r="C149" i="6"/>
  <c r="D152" i="6"/>
  <c r="D30" i="6"/>
  <c r="D74" i="6"/>
  <c r="D115" i="6"/>
  <c r="D126" i="6"/>
  <c r="D68" i="6"/>
  <c r="D116" i="6"/>
  <c r="D146" i="6"/>
  <c r="D17" i="6"/>
  <c r="D147" i="6"/>
  <c r="D79" i="6"/>
  <c r="C13" i="7"/>
  <c r="D10" i="7"/>
  <c r="C12" i="7"/>
  <c r="C11" i="7"/>
  <c r="C14" i="7"/>
  <c r="C10" i="7"/>
  <c r="A15" i="5"/>
  <c r="A14" i="5"/>
  <c r="D14" i="5"/>
  <c r="E14" i="5"/>
  <c r="F14" i="5" s="1"/>
  <c r="B17" i="5"/>
  <c r="C16" i="5"/>
  <c r="E13" i="5"/>
  <c r="F13" i="5" s="1"/>
  <c r="D18" i="4"/>
  <c r="E17" i="4"/>
  <c r="D15" i="4"/>
  <c r="E15" i="4"/>
  <c r="D16" i="4"/>
  <c r="A17" i="4"/>
  <c r="D17" i="4"/>
  <c r="E18" i="4"/>
  <c r="E13" i="4"/>
  <c r="D14" i="4"/>
  <c r="D17" i="3"/>
  <c r="E15" i="3"/>
  <c r="D16" i="3"/>
  <c r="E14" i="3"/>
  <c r="D15" i="3"/>
  <c r="E18" i="3"/>
  <c r="C19" i="3"/>
  <c r="A15" i="3"/>
  <c r="D14" i="3"/>
  <c r="E13" i="3"/>
  <c r="D18" i="3"/>
  <c r="E17" i="3"/>
  <c r="D14" i="1"/>
  <c r="C15" i="1"/>
  <c r="E15" i="1" s="1"/>
  <c r="F15" i="1" s="1"/>
  <c r="A17" i="1"/>
  <c r="A18" i="1" s="1"/>
  <c r="D301" i="10" a="1"/>
  <c r="D296" i="10" a="1"/>
  <c r="D300" i="10" a="1"/>
  <c r="C303" i="10" a="1"/>
  <c r="C302" i="10" a="1"/>
  <c r="D298" i="10" a="1"/>
  <c r="D92" i="6" a="1"/>
  <c r="D91" i="6" a="1"/>
  <c r="D95" i="6" a="1"/>
  <c r="D12" i="7" a="1"/>
  <c r="D90" i="6" a="1"/>
  <c r="D94" i="6" a="1"/>
  <c r="D298" i="10" l="1"/>
  <c r="E298" i="10" s="1"/>
  <c r="C302" i="10"/>
  <c r="C303" i="10"/>
  <c r="D300" i="10"/>
  <c r="D296" i="10"/>
  <c r="E296" i="10" s="1"/>
  <c r="D301" i="10"/>
  <c r="E301" i="10" s="1"/>
  <c r="F15" i="4"/>
  <c r="E67" i="6"/>
  <c r="E300" i="10"/>
  <c r="F17" i="4"/>
  <c r="F13" i="4"/>
  <c r="F18" i="4"/>
  <c r="E21" i="10"/>
  <c r="E240" i="10"/>
  <c r="E260" i="10"/>
  <c r="E280" i="10"/>
  <c r="E158" i="10"/>
  <c r="E290" i="10"/>
  <c r="E80" i="10"/>
  <c r="E270" i="10"/>
  <c r="E250" i="10"/>
  <c r="E228" i="10"/>
  <c r="E159" i="10"/>
  <c r="E144" i="6"/>
  <c r="E31" i="10"/>
  <c r="E150" i="10"/>
  <c r="E161" i="10"/>
  <c r="E148" i="10"/>
  <c r="E113" i="10"/>
  <c r="E168" i="10"/>
  <c r="E123" i="10"/>
  <c r="E88" i="10"/>
  <c r="E163" i="10"/>
  <c r="E70" i="10"/>
  <c r="E138" i="10"/>
  <c r="E27" i="9"/>
  <c r="F27" i="9" s="1"/>
  <c r="D28" i="9"/>
  <c r="A17" i="9"/>
  <c r="A18" i="9"/>
  <c r="E28" i="9"/>
  <c r="F28" i="9" s="1"/>
  <c r="C29" i="9"/>
  <c r="E69" i="6"/>
  <c r="A155" i="8"/>
  <c r="D151" i="8"/>
  <c r="E150" i="8"/>
  <c r="F150" i="8" s="1"/>
  <c r="D150" i="8"/>
  <c r="E128" i="6"/>
  <c r="C151" i="8"/>
  <c r="B152" i="8"/>
  <c r="A154" i="8"/>
  <c r="C89" i="8"/>
  <c r="B90" i="8"/>
  <c r="A92" i="8"/>
  <c r="E88" i="8"/>
  <c r="F88" i="8" s="1"/>
  <c r="D89" i="8"/>
  <c r="A91" i="8"/>
  <c r="A93" i="8"/>
  <c r="A90" i="8"/>
  <c r="E126" i="6"/>
  <c r="E149" i="6"/>
  <c r="E117" i="6"/>
  <c r="E135" i="6"/>
  <c r="E78" i="6"/>
  <c r="E25" i="6"/>
  <c r="E77" i="6"/>
  <c r="E130" i="6"/>
  <c r="E114" i="6"/>
  <c r="E55" i="6"/>
  <c r="D28" i="8"/>
  <c r="E27" i="8"/>
  <c r="F27" i="8" s="1"/>
  <c r="D27" i="8"/>
  <c r="E26" i="8"/>
  <c r="F26" i="8" s="1"/>
  <c r="E112" i="6"/>
  <c r="E65" i="6"/>
  <c r="D25" i="8"/>
  <c r="E24" i="8"/>
  <c r="F24" i="8" s="1"/>
  <c r="E30" i="8"/>
  <c r="F30" i="8" s="1"/>
  <c r="D31" i="8"/>
  <c r="E28" i="8"/>
  <c r="F28" i="8" s="1"/>
  <c r="D29" i="8"/>
  <c r="E29" i="8"/>
  <c r="F29" i="8" s="1"/>
  <c r="D30" i="8"/>
  <c r="A20" i="8"/>
  <c r="A21" i="8"/>
  <c r="B32" i="8"/>
  <c r="C31" i="8"/>
  <c r="E143" i="6"/>
  <c r="E166" i="6"/>
  <c r="E25" i="8"/>
  <c r="F25" i="8" s="1"/>
  <c r="D26" i="8"/>
  <c r="E85" i="6"/>
  <c r="E136" i="6"/>
  <c r="E41" i="6"/>
  <c r="E109" i="6"/>
  <c r="E122" i="6"/>
  <c r="E82" i="6"/>
  <c r="E33" i="6"/>
  <c r="E26" i="6"/>
  <c r="E54" i="6"/>
  <c r="E74" i="6"/>
  <c r="E162" i="6"/>
  <c r="E52" i="6"/>
  <c r="E138" i="6"/>
  <c r="E150" i="6"/>
  <c r="E59" i="6"/>
  <c r="E134" i="6"/>
  <c r="E151" i="6"/>
  <c r="E160" i="6"/>
  <c r="E129" i="6"/>
  <c r="E39" i="6"/>
  <c r="E36" i="6"/>
  <c r="E49" i="6"/>
  <c r="E14" i="7"/>
  <c r="E154" i="6"/>
  <c r="E44" i="6"/>
  <c r="E148" i="6"/>
  <c r="E140" i="6"/>
  <c r="E127" i="6"/>
  <c r="E156" i="6"/>
  <c r="E141" i="6"/>
  <c r="E152" i="6"/>
  <c r="D94" i="6"/>
  <c r="E94" i="6" s="1"/>
  <c r="D90" i="6"/>
  <c r="E90" i="6" s="1"/>
  <c r="D12" i="7"/>
  <c r="E12" i="7" s="1"/>
  <c r="D95" i="6"/>
  <c r="E95" i="6" s="1"/>
  <c r="D91" i="6"/>
  <c r="E91" i="6" s="1"/>
  <c r="D92" i="6"/>
  <c r="E92" i="6" s="1"/>
  <c r="E10" i="7"/>
  <c r="E15" i="6"/>
  <c r="F17" i="3"/>
  <c r="F13" i="3"/>
  <c r="E165" i="6"/>
  <c r="E14" i="6"/>
  <c r="E146" i="6"/>
  <c r="F18" i="3"/>
  <c r="E23" i="6"/>
  <c r="E121" i="6"/>
  <c r="E153" i="6"/>
  <c r="E42" i="6"/>
  <c r="E28" i="6"/>
  <c r="F14" i="3"/>
  <c r="E139" i="6"/>
  <c r="E145" i="6"/>
  <c r="E115" i="6"/>
  <c r="E155" i="6"/>
  <c r="E63" i="6"/>
  <c r="E53" i="6"/>
  <c r="E142" i="6"/>
  <c r="E80" i="6"/>
  <c r="E30" i="6"/>
  <c r="E51" i="6"/>
  <c r="E70" i="6"/>
  <c r="E35" i="6"/>
  <c r="E113" i="6"/>
  <c r="E76" i="6"/>
  <c r="E168" i="6"/>
  <c r="E124" i="6"/>
  <c r="E61" i="6"/>
  <c r="E64" i="6"/>
  <c r="E161" i="6"/>
  <c r="E68" i="6"/>
  <c r="E37" i="6"/>
  <c r="E147" i="6"/>
  <c r="E56" i="6"/>
  <c r="E125" i="6"/>
  <c r="E45" i="6"/>
  <c r="E159" i="6"/>
  <c r="F15" i="3"/>
  <c r="E50" i="6"/>
  <c r="E131" i="6"/>
  <c r="E27" i="6"/>
  <c r="E66" i="6"/>
  <c r="E87" i="6"/>
  <c r="E11" i="6"/>
  <c r="E46" i="6"/>
  <c r="E19" i="6"/>
  <c r="E73" i="6"/>
  <c r="E12" i="6"/>
  <c r="E58" i="6"/>
  <c r="E57" i="6"/>
  <c r="E62" i="6"/>
  <c r="E34" i="6"/>
  <c r="E21" i="6"/>
  <c r="E111" i="6"/>
  <c r="E157" i="6"/>
  <c r="E22" i="6"/>
  <c r="E16" i="6"/>
  <c r="E132" i="6"/>
  <c r="E86" i="6"/>
  <c r="E29" i="6"/>
  <c r="E60" i="6"/>
  <c r="E71" i="6"/>
  <c r="E43" i="6"/>
  <c r="E163" i="6"/>
  <c r="E133" i="6"/>
  <c r="E47" i="6"/>
  <c r="E120" i="6"/>
  <c r="E81" i="6"/>
  <c r="E83" i="6"/>
  <c r="E24" i="6"/>
  <c r="E79" i="6"/>
  <c r="E13" i="6"/>
  <c r="E93" i="6"/>
  <c r="E10" i="6"/>
  <c r="E118" i="6"/>
  <c r="E88" i="6"/>
  <c r="E72" i="6"/>
  <c r="E110" i="6"/>
  <c r="E17" i="6"/>
  <c r="E20" i="6"/>
  <c r="E137" i="6"/>
  <c r="E169" i="6"/>
  <c r="E108" i="6"/>
  <c r="E40" i="6"/>
  <c r="E84" i="6"/>
  <c r="E167" i="6"/>
  <c r="E158" i="6"/>
  <c r="E116" i="6"/>
  <c r="E164" i="6"/>
  <c r="E31" i="6"/>
  <c r="E75" i="6"/>
  <c r="E123" i="6"/>
  <c r="E119" i="6"/>
  <c r="E48" i="6"/>
  <c r="E32" i="6"/>
  <c r="E38" i="6"/>
  <c r="E18" i="6"/>
  <c r="A16" i="5"/>
  <c r="A17" i="5" s="1"/>
  <c r="C17" i="5"/>
  <c r="B18" i="5"/>
  <c r="D16" i="5"/>
  <c r="E16" i="5"/>
  <c r="F16" i="5" s="1"/>
  <c r="C20" i="4"/>
  <c r="E19" i="4"/>
  <c r="D20" i="4"/>
  <c r="A18" i="4"/>
  <c r="A19" i="4"/>
  <c r="E19" i="3"/>
  <c r="C20" i="3"/>
  <c r="D20" i="3" s="1"/>
  <c r="D19" i="3"/>
  <c r="A16" i="3"/>
  <c r="C16" i="1"/>
  <c r="D15" i="1"/>
  <c r="A19" i="1"/>
  <c r="C304" i="10" a="1"/>
  <c r="D302" i="10" a="1"/>
  <c r="D96" i="6" a="1"/>
  <c r="D302" i="10" l="1"/>
  <c r="E302" i="10" s="1"/>
  <c r="C304" i="10"/>
  <c r="F19" i="4"/>
  <c r="E29" i="9"/>
  <c r="F29" i="9" s="1"/>
  <c r="C30" i="9"/>
  <c r="D30" i="9" s="1"/>
  <c r="A19" i="9"/>
  <c r="D29" i="9"/>
  <c r="A160" i="8"/>
  <c r="A156" i="8"/>
  <c r="A157" i="8"/>
  <c r="A158" i="8"/>
  <c r="A159" i="8"/>
  <c r="C152" i="8"/>
  <c r="B153" i="8"/>
  <c r="D152" i="8"/>
  <c r="E151" i="8"/>
  <c r="F151" i="8" s="1"/>
  <c r="C90" i="8"/>
  <c r="B91" i="8"/>
  <c r="D90" i="8"/>
  <c r="E89" i="8"/>
  <c r="F89" i="8" s="1"/>
  <c r="A94" i="8"/>
  <c r="E31" i="8"/>
  <c r="F31" i="8" s="1"/>
  <c r="B33" i="8"/>
  <c r="C32" i="8"/>
  <c r="D32" i="8" s="1"/>
  <c r="A22" i="8"/>
  <c r="A23" i="8"/>
  <c r="D96" i="6"/>
  <c r="E96" i="6" s="1"/>
  <c r="F19" i="3"/>
  <c r="A18" i="5"/>
  <c r="A19" i="5" s="1"/>
  <c r="E17" i="5"/>
  <c r="F17" i="5" s="1"/>
  <c r="D17" i="5"/>
  <c r="C18" i="5"/>
  <c r="D18" i="5" s="1"/>
  <c r="B19" i="5"/>
  <c r="A20" i="4"/>
  <c r="E20" i="4"/>
  <c r="C21" i="4"/>
  <c r="D21" i="4" s="1"/>
  <c r="C21" i="3"/>
  <c r="D21" i="3" s="1"/>
  <c r="A17" i="3"/>
  <c r="E20" i="3"/>
  <c r="D16" i="1"/>
  <c r="E16" i="1"/>
  <c r="F16" i="1" s="1"/>
  <c r="C17" i="1"/>
  <c r="E17" i="1" s="1"/>
  <c r="F17" i="1" s="1"/>
  <c r="A20" i="1"/>
  <c r="C305" i="10" a="1"/>
  <c r="D303" i="10" a="1"/>
  <c r="D97" i="6" a="1"/>
  <c r="D303" i="10" l="1"/>
  <c r="E303" i="10" s="1"/>
  <c r="C305" i="10"/>
  <c r="F20" i="4"/>
  <c r="C31" i="9"/>
  <c r="D31" i="9" s="1"/>
  <c r="E30" i="9"/>
  <c r="F30" i="9" s="1"/>
  <c r="A20" i="9"/>
  <c r="A21" i="9"/>
  <c r="A22" i="9" s="1"/>
  <c r="A161" i="8"/>
  <c r="A162" i="8" s="1"/>
  <c r="A163" i="8" s="1"/>
  <c r="A164" i="8" s="1"/>
  <c r="B154" i="8"/>
  <c r="C153" i="8"/>
  <c r="E152" i="8"/>
  <c r="F152" i="8" s="1"/>
  <c r="D153" i="8"/>
  <c r="E90" i="8"/>
  <c r="F90" i="8" s="1"/>
  <c r="B92" i="8"/>
  <c r="C91" i="8"/>
  <c r="D91" i="8" s="1"/>
  <c r="A95" i="8"/>
  <c r="B34" i="8"/>
  <c r="C33" i="8"/>
  <c r="D33" i="8" s="1"/>
  <c r="A24" i="8"/>
  <c r="E32" i="8"/>
  <c r="F32" i="8" s="1"/>
  <c r="D97" i="6"/>
  <c r="E97" i="6" s="1"/>
  <c r="F20" i="3"/>
  <c r="A20" i="5"/>
  <c r="A21" i="5" s="1"/>
  <c r="E18" i="5"/>
  <c r="F18" i="5" s="1"/>
  <c r="C19" i="5"/>
  <c r="D19" i="5" s="1"/>
  <c r="B20" i="5"/>
  <c r="C22" i="4"/>
  <c r="D22" i="4" s="1"/>
  <c r="A21" i="4"/>
  <c r="A22" i="4"/>
  <c r="E21" i="4"/>
  <c r="A18" i="3"/>
  <c r="A19" i="3" s="1"/>
  <c r="E21" i="3"/>
  <c r="C22" i="3"/>
  <c r="A21" i="1"/>
  <c r="A22" i="1" s="1"/>
  <c r="A23" i="1" s="1"/>
  <c r="C18" i="1"/>
  <c r="E18" i="1" s="1"/>
  <c r="F18" i="1" s="1"/>
  <c r="D17" i="1"/>
  <c r="C306" i="10" a="1"/>
  <c r="D304" i="10" a="1"/>
  <c r="D98" i="6" a="1"/>
  <c r="D304" i="10" l="1"/>
  <c r="E304" i="10" s="1"/>
  <c r="C306" i="10"/>
  <c r="F21" i="4"/>
  <c r="E31" i="9"/>
  <c r="F31" i="9" s="1"/>
  <c r="C32" i="9"/>
  <c r="D32" i="9" s="1"/>
  <c r="A23" i="9"/>
  <c r="E153" i="8"/>
  <c r="F153" i="8" s="1"/>
  <c r="C154" i="8"/>
  <c r="B155" i="8"/>
  <c r="C92" i="8"/>
  <c r="B93" i="8"/>
  <c r="A96" i="8"/>
  <c r="D92" i="8"/>
  <c r="E91" i="8"/>
  <c r="F91" i="8" s="1"/>
  <c r="A25" i="8"/>
  <c r="E33" i="8"/>
  <c r="F33" i="8" s="1"/>
  <c r="B35" i="8"/>
  <c r="C34" i="8"/>
  <c r="D98" i="6"/>
  <c r="E98" i="6" s="1"/>
  <c r="F21" i="3"/>
  <c r="B21" i="5"/>
  <c r="C20" i="5"/>
  <c r="D20" i="5"/>
  <c r="E19" i="5"/>
  <c r="F19" i="5" s="1"/>
  <c r="A22" i="5"/>
  <c r="C23" i="4"/>
  <c r="D23" i="4" s="1"/>
  <c r="E22" i="4"/>
  <c r="A23" i="4"/>
  <c r="A20" i="3"/>
  <c r="A21" i="3"/>
  <c r="A22" i="3" s="1"/>
  <c r="C23" i="3"/>
  <c r="D23" i="3" s="1"/>
  <c r="E22" i="3"/>
  <c r="D22" i="3"/>
  <c r="C19" i="1"/>
  <c r="E19" i="1" s="1"/>
  <c r="F19" i="1" s="1"/>
  <c r="D18" i="1"/>
  <c r="A24" i="1"/>
  <c r="C307" i="10" a="1"/>
  <c r="D305" i="10" a="1"/>
  <c r="D99" i="6" a="1"/>
  <c r="D305" i="10" l="1"/>
  <c r="E305" i="10" s="1"/>
  <c r="C307" i="10"/>
  <c r="F22" i="4"/>
  <c r="E32" i="9"/>
  <c r="F32" i="9" s="1"/>
  <c r="A24" i="9"/>
  <c r="C33" i="9"/>
  <c r="D33" i="9" s="1"/>
  <c r="E154" i="8"/>
  <c r="F154" i="8" s="1"/>
  <c r="D155" i="8"/>
  <c r="D154" i="8"/>
  <c r="B156" i="8"/>
  <c r="C155" i="8"/>
  <c r="A97" i="8"/>
  <c r="A98" i="8" s="1"/>
  <c r="C93" i="8"/>
  <c r="B94" i="8"/>
  <c r="E92" i="8"/>
  <c r="F92" i="8" s="1"/>
  <c r="E34" i="8"/>
  <c r="F34" i="8" s="1"/>
  <c r="B36" i="8"/>
  <c r="C35" i="8"/>
  <c r="D34" i="8"/>
  <c r="A26" i="8"/>
  <c r="D99" i="6"/>
  <c r="E99" i="6" s="1"/>
  <c r="F22" i="3"/>
  <c r="B22" i="5"/>
  <c r="C21" i="5"/>
  <c r="E20" i="5"/>
  <c r="F20" i="5" s="1"/>
  <c r="D21" i="5"/>
  <c r="A23" i="5"/>
  <c r="A24" i="5"/>
  <c r="A25" i="5" s="1"/>
  <c r="A26" i="5" s="1"/>
  <c r="A24" i="4"/>
  <c r="C24" i="4"/>
  <c r="E23" i="4"/>
  <c r="C24" i="3"/>
  <c r="D24" i="3" s="1"/>
  <c r="A23" i="3"/>
  <c r="E23" i="3"/>
  <c r="C20" i="1"/>
  <c r="E20" i="1" s="1"/>
  <c r="F20" i="1" s="1"/>
  <c r="D19" i="1"/>
  <c r="A25" i="1"/>
  <c r="D306" i="10" a="1"/>
  <c r="C308" i="10" a="1"/>
  <c r="D100" i="6" a="1"/>
  <c r="C308" i="10" l="1"/>
  <c r="D306" i="10"/>
  <c r="E306" i="10" s="1"/>
  <c r="F23" i="4"/>
  <c r="C34" i="9"/>
  <c r="D34" i="9" s="1"/>
  <c r="A25" i="9"/>
  <c r="E33" i="9"/>
  <c r="F33" i="9" s="1"/>
  <c r="E155" i="8"/>
  <c r="F155" i="8" s="1"/>
  <c r="C156" i="8"/>
  <c r="D156" i="8" s="1"/>
  <c r="B157" i="8"/>
  <c r="E93" i="8"/>
  <c r="F93" i="8" s="1"/>
  <c r="C94" i="8"/>
  <c r="B95" i="8"/>
  <c r="D93" i="8"/>
  <c r="A99" i="8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27" i="8"/>
  <c r="A28" i="8" s="1"/>
  <c r="A29" i="8" s="1"/>
  <c r="E35" i="8"/>
  <c r="F35" i="8" s="1"/>
  <c r="B37" i="8"/>
  <c r="C36" i="8"/>
  <c r="D35" i="8"/>
  <c r="D100" i="6"/>
  <c r="E100" i="6" s="1"/>
  <c r="F23" i="3"/>
  <c r="A27" i="5"/>
  <c r="E21" i="5"/>
  <c r="F21" i="5" s="1"/>
  <c r="C22" i="5"/>
  <c r="B23" i="5"/>
  <c r="A25" i="4"/>
  <c r="C25" i="4"/>
  <c r="D25" i="4" s="1"/>
  <c r="E24" i="4"/>
  <c r="D24" i="4"/>
  <c r="A24" i="3"/>
  <c r="C25" i="3"/>
  <c r="D25" i="3" s="1"/>
  <c r="E24" i="3"/>
  <c r="C21" i="1"/>
  <c r="E21" i="1" s="1"/>
  <c r="F21" i="1" s="1"/>
  <c r="D20" i="1"/>
  <c r="A26" i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C309" i="10" a="1"/>
  <c r="D307" i="10" a="1"/>
  <c r="D101" i="6" a="1"/>
  <c r="D307" i="10" l="1"/>
  <c r="E307" i="10" s="1"/>
  <c r="C309" i="10"/>
  <c r="F24" i="4"/>
  <c r="C35" i="9"/>
  <c r="D35" i="9" s="1"/>
  <c r="A26" i="9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E34" i="9"/>
  <c r="F34" i="9" s="1"/>
  <c r="E156" i="8"/>
  <c r="F156" i="8" s="1"/>
  <c r="B158" i="8"/>
  <c r="C157" i="8"/>
  <c r="E94" i="8"/>
  <c r="F94" i="8" s="1"/>
  <c r="D94" i="8"/>
  <c r="C95" i="8"/>
  <c r="B96" i="8"/>
  <c r="E36" i="8"/>
  <c r="F36" i="8" s="1"/>
  <c r="D36" i="8"/>
  <c r="A30" i="8"/>
  <c r="B38" i="8"/>
  <c r="C37" i="8"/>
  <c r="D37" i="8" s="1"/>
  <c r="D101" i="6"/>
  <c r="E101" i="6" s="1"/>
  <c r="F24" i="3"/>
  <c r="E22" i="5"/>
  <c r="F22" i="5" s="1"/>
  <c r="A28" i="5"/>
  <c r="A29" i="5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B24" i="5"/>
  <c r="C23" i="5"/>
  <c r="D22" i="5"/>
  <c r="C26" i="4"/>
  <c r="D26" i="4" s="1"/>
  <c r="E25" i="4"/>
  <c r="A26" i="4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E25" i="3"/>
  <c r="C26" i="3"/>
  <c r="D26" i="3" s="1"/>
  <c r="A25" i="3"/>
  <c r="A26" i="3" s="1"/>
  <c r="A27" i="3" s="1"/>
  <c r="A28" i="3" s="1"/>
  <c r="A29" i="3" s="1"/>
  <c r="A30" i="3" s="1"/>
  <c r="D21" i="1"/>
  <c r="C22" i="1"/>
  <c r="E22" i="1" s="1"/>
  <c r="F22" i="1" s="1"/>
  <c r="C310" i="10" a="1"/>
  <c r="D308" i="10" a="1"/>
  <c r="D102" i="6" a="1"/>
  <c r="D308" i="10" l="1"/>
  <c r="E308" i="10" s="1"/>
  <c r="C310" i="10"/>
  <c r="F25" i="4"/>
  <c r="E35" i="9"/>
  <c r="F35" i="9" s="1"/>
  <c r="C36" i="9"/>
  <c r="E157" i="8"/>
  <c r="F157" i="8" s="1"/>
  <c r="C158" i="8"/>
  <c r="B159" i="8"/>
  <c r="D157" i="8"/>
  <c r="C96" i="8"/>
  <c r="B97" i="8"/>
  <c r="E95" i="8"/>
  <c r="F95" i="8" s="1"/>
  <c r="D96" i="8"/>
  <c r="D95" i="8"/>
  <c r="E37" i="8"/>
  <c r="F37" i="8" s="1"/>
  <c r="B39" i="8"/>
  <c r="C38" i="8"/>
  <c r="D38" i="8" s="1"/>
  <c r="A31" i="8"/>
  <c r="A32" i="8" s="1"/>
  <c r="A33" i="8" s="1"/>
  <c r="A34" i="8" s="1"/>
  <c r="A35" i="8" s="1"/>
  <c r="A36" i="8" s="1"/>
  <c r="A37" i="8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D102" i="6"/>
  <c r="E102" i="6" s="1"/>
  <c r="F25" i="3"/>
  <c r="E23" i="5"/>
  <c r="F23" i="5" s="1"/>
  <c r="B25" i="5"/>
  <c r="C24" i="5"/>
  <c r="D24" i="5" s="1"/>
  <c r="D23" i="5"/>
  <c r="E26" i="4"/>
  <c r="C27" i="4"/>
  <c r="E26" i="3"/>
  <c r="C27" i="3"/>
  <c r="D22" i="1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C23" i="1"/>
  <c r="E23" i="1" s="1"/>
  <c r="F23" i="1" s="1"/>
  <c r="D309" i="10" a="1"/>
  <c r="C311" i="10" a="1"/>
  <c r="D103" i="6" a="1"/>
  <c r="C311" i="10" l="1"/>
  <c r="D309" i="10"/>
  <c r="E309" i="10" s="1"/>
  <c r="F26" i="4"/>
  <c r="E36" i="9"/>
  <c r="F36" i="9" s="1"/>
  <c r="C37" i="9"/>
  <c r="D37" i="9" s="1"/>
  <c r="D36" i="9"/>
  <c r="C159" i="8"/>
  <c r="B160" i="8"/>
  <c r="E158" i="8"/>
  <c r="F158" i="8" s="1"/>
  <c r="D159" i="8"/>
  <c r="D158" i="8"/>
  <c r="B98" i="8"/>
  <c r="C97" i="8"/>
  <c r="D97" i="8"/>
  <c r="E96" i="8"/>
  <c r="F96" i="8" s="1"/>
  <c r="B40" i="8"/>
  <c r="C39" i="8"/>
  <c r="D39" i="8" s="1"/>
  <c r="E38" i="8"/>
  <c r="F38" i="8" s="1"/>
  <c r="D103" i="6"/>
  <c r="E103" i="6" s="1"/>
  <c r="F26" i="3"/>
  <c r="E24" i="5"/>
  <c r="F24" i="5" s="1"/>
  <c r="C25" i="5"/>
  <c r="D25" i="5" s="1"/>
  <c r="B26" i="5"/>
  <c r="C28" i="4"/>
  <c r="D28" i="4" s="1"/>
  <c r="E27" i="4"/>
  <c r="D27" i="4"/>
  <c r="E27" i="3"/>
  <c r="C28" i="3"/>
  <c r="D27" i="3"/>
  <c r="C24" i="1"/>
  <c r="D23" i="1"/>
  <c r="D310" i="10" a="1"/>
  <c r="C312" i="10" a="1"/>
  <c r="D104" i="6" a="1"/>
  <c r="C312" i="10" l="1"/>
  <c r="D310" i="10"/>
  <c r="E310" i="10" s="1"/>
  <c r="F27" i="4"/>
  <c r="C38" i="9"/>
  <c r="D38" i="9" s="1"/>
  <c r="E37" i="9"/>
  <c r="F37" i="9" s="1"/>
  <c r="B161" i="8"/>
  <c r="C160" i="8"/>
  <c r="D160" i="8"/>
  <c r="E159" i="8"/>
  <c r="F159" i="8" s="1"/>
  <c r="E97" i="8"/>
  <c r="F97" i="8" s="1"/>
  <c r="B99" i="8"/>
  <c r="C98" i="8"/>
  <c r="D98" i="8" s="1"/>
  <c r="E39" i="8"/>
  <c r="F39" i="8" s="1"/>
  <c r="B41" i="8"/>
  <c r="C40" i="8"/>
  <c r="D104" i="6"/>
  <c r="E104" i="6" s="1"/>
  <c r="F27" i="3"/>
  <c r="B27" i="5"/>
  <c r="C26" i="5"/>
  <c r="E25" i="5"/>
  <c r="F25" i="5" s="1"/>
  <c r="D26" i="5"/>
  <c r="E28" i="4"/>
  <c r="C29" i="4"/>
  <c r="E28" i="3"/>
  <c r="C29" i="3"/>
  <c r="D28" i="3"/>
  <c r="D24" i="1"/>
  <c r="E24" i="1"/>
  <c r="F24" i="1" s="1"/>
  <c r="C25" i="1"/>
  <c r="E25" i="1" s="1"/>
  <c r="F25" i="1" s="1"/>
  <c r="D311" i="10" a="1"/>
  <c r="C313" i="10" a="1"/>
  <c r="D105" i="6" a="1"/>
  <c r="C313" i="10" l="1"/>
  <c r="D311" i="10"/>
  <c r="E311" i="10" s="1"/>
  <c r="F28" i="4"/>
  <c r="C39" i="9"/>
  <c r="E38" i="9"/>
  <c r="F38" i="9" s="1"/>
  <c r="C161" i="8"/>
  <c r="B162" i="8"/>
  <c r="E160" i="8"/>
  <c r="F160" i="8" s="1"/>
  <c r="E98" i="8"/>
  <c r="F98" i="8" s="1"/>
  <c r="D99" i="8"/>
  <c r="B100" i="8"/>
  <c r="C99" i="8"/>
  <c r="E40" i="8"/>
  <c r="F40" i="8" s="1"/>
  <c r="B42" i="8"/>
  <c r="C41" i="8"/>
  <c r="D41" i="8" s="1"/>
  <c r="D40" i="8"/>
  <c r="D105" i="6"/>
  <c r="E105" i="6" s="1"/>
  <c r="F28" i="3"/>
  <c r="E26" i="5"/>
  <c r="F26" i="5" s="1"/>
  <c r="C27" i="5"/>
  <c r="B28" i="5"/>
  <c r="C30" i="4"/>
  <c r="D30" i="4" s="1"/>
  <c r="E29" i="4"/>
  <c r="D29" i="4"/>
  <c r="C30" i="3"/>
  <c r="D30" i="3" s="1"/>
  <c r="E29" i="3"/>
  <c r="D29" i="3"/>
  <c r="C26" i="1"/>
  <c r="D25" i="1"/>
  <c r="D312" i="10" a="1"/>
  <c r="C314" i="10" a="1"/>
  <c r="D106" i="6" a="1"/>
  <c r="C314" i="10" l="1"/>
  <c r="D312" i="10"/>
  <c r="E312" i="10" s="1"/>
  <c r="F29" i="4"/>
  <c r="C40" i="9"/>
  <c r="D40" i="9" s="1"/>
  <c r="E39" i="9"/>
  <c r="F39" i="9" s="1"/>
  <c r="D39" i="9"/>
  <c r="E161" i="8"/>
  <c r="F161" i="8" s="1"/>
  <c r="D161" i="8"/>
  <c r="B163" i="8"/>
  <c r="C162" i="8"/>
  <c r="D162" i="8" s="1"/>
  <c r="E99" i="8"/>
  <c r="F99" i="8" s="1"/>
  <c r="C100" i="8"/>
  <c r="B101" i="8"/>
  <c r="E41" i="8"/>
  <c r="F41" i="8" s="1"/>
  <c r="B43" i="8"/>
  <c r="C42" i="8"/>
  <c r="D106" i="6"/>
  <c r="E106" i="6" s="1"/>
  <c r="F29" i="3"/>
  <c r="C28" i="5"/>
  <c r="D28" i="5" s="1"/>
  <c r="B29" i="5"/>
  <c r="E27" i="5"/>
  <c r="F27" i="5" s="1"/>
  <c r="D27" i="5"/>
  <c r="E30" i="4"/>
  <c r="C31" i="4"/>
  <c r="E30" i="3"/>
  <c r="D26" i="1"/>
  <c r="E26" i="1"/>
  <c r="F26" i="1" s="1"/>
  <c r="C27" i="1"/>
  <c r="E27" i="1" s="1"/>
  <c r="F27" i="1" s="1"/>
  <c r="D313" i="10" a="1"/>
  <c r="C315" i="10" a="1"/>
  <c r="D107" i="6" a="1"/>
  <c r="D13" i="7" a="1"/>
  <c r="C315" i="10" l="1"/>
  <c r="D313" i="10"/>
  <c r="E313" i="10" s="1"/>
  <c r="F30" i="4"/>
  <c r="C41" i="9"/>
  <c r="D41" i="9" s="1"/>
  <c r="E40" i="9"/>
  <c r="F40" i="9" s="1"/>
  <c r="E162" i="8"/>
  <c r="F162" i="8" s="1"/>
  <c r="B164" i="8"/>
  <c r="C164" i="8" s="1"/>
  <c r="E164" i="8" s="1"/>
  <c r="F164" i="8" s="1"/>
  <c r="C163" i="8"/>
  <c r="E100" i="8"/>
  <c r="F100" i="8" s="1"/>
  <c r="D101" i="8"/>
  <c r="B102" i="8"/>
  <c r="C101" i="8"/>
  <c r="D100" i="8"/>
  <c r="E42" i="8"/>
  <c r="F42" i="8" s="1"/>
  <c r="B44" i="8"/>
  <c r="C43" i="8"/>
  <c r="D42" i="8"/>
  <c r="D13" i="7"/>
  <c r="E13" i="7" s="1"/>
  <c r="D107" i="6"/>
  <c r="E107" i="6" s="1"/>
  <c r="F30" i="3"/>
  <c r="C29" i="5"/>
  <c r="B30" i="5"/>
  <c r="E28" i="5"/>
  <c r="F28" i="5" s="1"/>
  <c r="D29" i="5"/>
  <c r="E31" i="4"/>
  <c r="C32" i="4"/>
  <c r="D31" i="4"/>
  <c r="C28" i="1"/>
  <c r="E28" i="1" s="1"/>
  <c r="F28" i="1" s="1"/>
  <c r="D27" i="1"/>
  <c r="D314" i="10" a="1"/>
  <c r="C316" i="10" a="1"/>
  <c r="C316" i="10" l="1"/>
  <c r="D314" i="10"/>
  <c r="E314" i="10" s="1"/>
  <c r="F31" i="4"/>
  <c r="E41" i="9"/>
  <c r="F41" i="9" s="1"/>
  <c r="C42" i="9"/>
  <c r="D164" i="8"/>
  <c r="E163" i="8"/>
  <c r="F163" i="8" s="1"/>
  <c r="D163" i="8"/>
  <c r="C102" i="8"/>
  <c r="B103" i="8"/>
  <c r="E101" i="8"/>
  <c r="F101" i="8" s="1"/>
  <c r="E43" i="8"/>
  <c r="F43" i="8" s="1"/>
  <c r="B45" i="8"/>
  <c r="C44" i="8"/>
  <c r="D43" i="8"/>
  <c r="B31" i="5"/>
  <c r="C30" i="5"/>
  <c r="D30" i="5" s="1"/>
  <c r="E29" i="5"/>
  <c r="F29" i="5" s="1"/>
  <c r="C33" i="4"/>
  <c r="D33" i="4" s="1"/>
  <c r="E32" i="4"/>
  <c r="D32" i="4"/>
  <c r="D28" i="1"/>
  <c r="C29" i="1"/>
  <c r="E29" i="1" s="1"/>
  <c r="F29" i="1" s="1"/>
  <c r="D315" i="10" a="1"/>
  <c r="C317" i="10" a="1"/>
  <c r="C317" i="10" l="1"/>
  <c r="D315" i="10"/>
  <c r="E315" i="10" s="1"/>
  <c r="F32" i="4"/>
  <c r="E42" i="9"/>
  <c r="F42" i="9" s="1"/>
  <c r="C43" i="9"/>
  <c r="D42" i="9"/>
  <c r="D103" i="8"/>
  <c r="E102" i="8"/>
  <c r="F102" i="8" s="1"/>
  <c r="D102" i="8"/>
  <c r="C103" i="8"/>
  <c r="B104" i="8"/>
  <c r="E44" i="8"/>
  <c r="F44" i="8" s="1"/>
  <c r="B46" i="8"/>
  <c r="C45" i="8"/>
  <c r="D44" i="8"/>
  <c r="E30" i="5"/>
  <c r="F30" i="5" s="1"/>
  <c r="B32" i="5"/>
  <c r="C31" i="5"/>
  <c r="D31" i="5" s="1"/>
  <c r="E33" i="4"/>
  <c r="C34" i="4"/>
  <c r="C30" i="1"/>
  <c r="E30" i="1" s="1"/>
  <c r="F30" i="1" s="1"/>
  <c r="D29" i="1"/>
  <c r="C318" i="10" a="1"/>
  <c r="D316" i="10" a="1"/>
  <c r="D316" i="10" l="1"/>
  <c r="E316" i="10" s="1"/>
  <c r="C318" i="10"/>
  <c r="F33" i="4"/>
  <c r="E43" i="9"/>
  <c r="F43" i="9" s="1"/>
  <c r="C44" i="9"/>
  <c r="D43" i="9"/>
  <c r="C104" i="8"/>
  <c r="B105" i="8"/>
  <c r="E103" i="8"/>
  <c r="F103" i="8" s="1"/>
  <c r="E45" i="8"/>
  <c r="F45" i="8" s="1"/>
  <c r="C46" i="8"/>
  <c r="B47" i="8"/>
  <c r="D45" i="8"/>
  <c r="E31" i="5"/>
  <c r="F31" i="5" s="1"/>
  <c r="C32" i="5"/>
  <c r="B33" i="5"/>
  <c r="C35" i="4"/>
  <c r="D35" i="4" s="1"/>
  <c r="E34" i="4"/>
  <c r="D34" i="4"/>
  <c r="D30" i="1"/>
  <c r="C31" i="1"/>
  <c r="E31" i="1" s="1"/>
  <c r="F31" i="1" s="1"/>
  <c r="D31" i="1"/>
  <c r="C319" i="10" a="1"/>
  <c r="D317" i="10" a="1"/>
  <c r="D317" i="10" l="1"/>
  <c r="E317" i="10" s="1"/>
  <c r="C319" i="10"/>
  <c r="F34" i="4"/>
  <c r="C45" i="9"/>
  <c r="E44" i="9"/>
  <c r="F44" i="9" s="1"/>
  <c r="D44" i="9"/>
  <c r="C105" i="8"/>
  <c r="B106" i="8"/>
  <c r="D105" i="8"/>
  <c r="E104" i="8"/>
  <c r="F104" i="8" s="1"/>
  <c r="D104" i="8"/>
  <c r="B48" i="8"/>
  <c r="C47" i="8"/>
  <c r="D47" i="8" s="1"/>
  <c r="E46" i="8"/>
  <c r="F46" i="8" s="1"/>
  <c r="D46" i="8"/>
  <c r="E32" i="5"/>
  <c r="F32" i="5" s="1"/>
  <c r="D32" i="5"/>
  <c r="B34" i="5"/>
  <c r="C33" i="5"/>
  <c r="D33" i="5" s="1"/>
  <c r="E35" i="4"/>
  <c r="C36" i="4"/>
  <c r="C32" i="1"/>
  <c r="E32" i="1" s="1"/>
  <c r="F32" i="1" s="1"/>
  <c r="C320" i="10" a="1"/>
  <c r="D318" i="10" a="1"/>
  <c r="D318" i="10" l="1"/>
  <c r="E318" i="10" s="1"/>
  <c r="C320" i="10"/>
  <c r="F35" i="4"/>
  <c r="E45" i="9"/>
  <c r="F45" i="9" s="1"/>
  <c r="C46" i="9"/>
  <c r="D45" i="9"/>
  <c r="B107" i="8"/>
  <c r="C106" i="8"/>
  <c r="D106" i="8"/>
  <c r="E105" i="8"/>
  <c r="F105" i="8" s="1"/>
  <c r="E47" i="8"/>
  <c r="F47" i="8" s="1"/>
  <c r="B49" i="8"/>
  <c r="C48" i="8"/>
  <c r="E33" i="5"/>
  <c r="F33" i="5" s="1"/>
  <c r="B35" i="5"/>
  <c r="C34" i="5"/>
  <c r="D34" i="5" s="1"/>
  <c r="C37" i="4"/>
  <c r="D37" i="4" s="1"/>
  <c r="E36" i="4"/>
  <c r="D36" i="4"/>
  <c r="D32" i="1"/>
  <c r="C33" i="1"/>
  <c r="E33" i="1" s="1"/>
  <c r="F33" i="1" s="1"/>
  <c r="C321" i="10" a="1"/>
  <c r="D319" i="10" a="1"/>
  <c r="D319" i="10" l="1"/>
  <c r="E319" i="10" s="1"/>
  <c r="C321" i="10"/>
  <c r="F36" i="4"/>
  <c r="E46" i="9"/>
  <c r="F46" i="9" s="1"/>
  <c r="D46" i="9"/>
  <c r="C47" i="9"/>
  <c r="C107" i="8"/>
  <c r="B108" i="8"/>
  <c r="E106" i="8"/>
  <c r="F106" i="8" s="1"/>
  <c r="E48" i="8"/>
  <c r="F48" i="8" s="1"/>
  <c r="B50" i="8"/>
  <c r="C49" i="8"/>
  <c r="D48" i="8"/>
  <c r="C35" i="5"/>
  <c r="B36" i="5"/>
  <c r="D35" i="5"/>
  <c r="E34" i="5"/>
  <c r="F34" i="5" s="1"/>
  <c r="E37" i="4"/>
  <c r="C38" i="4"/>
  <c r="D33" i="1"/>
  <c r="C34" i="1"/>
  <c r="E34" i="1" s="1"/>
  <c r="F34" i="1" s="1"/>
  <c r="D320" i="10" a="1"/>
  <c r="C322" i="10" a="1"/>
  <c r="C322" i="10" l="1"/>
  <c r="D320" i="10"/>
  <c r="E320" i="10" s="1"/>
  <c r="F37" i="4"/>
  <c r="E47" i="9"/>
  <c r="F47" i="9" s="1"/>
  <c r="C48" i="9"/>
  <c r="D48" i="9" s="1"/>
  <c r="D47" i="9"/>
  <c r="E107" i="8"/>
  <c r="F107" i="8" s="1"/>
  <c r="D108" i="8"/>
  <c r="C108" i="8"/>
  <c r="B109" i="8"/>
  <c r="D107" i="8"/>
  <c r="E49" i="8"/>
  <c r="F49" i="8" s="1"/>
  <c r="B51" i="8"/>
  <c r="C50" i="8"/>
  <c r="D49" i="8"/>
  <c r="B37" i="5"/>
  <c r="C36" i="5"/>
  <c r="D36" i="5" s="1"/>
  <c r="E35" i="5"/>
  <c r="F35" i="5" s="1"/>
  <c r="E38" i="4"/>
  <c r="C39" i="4"/>
  <c r="D38" i="4"/>
  <c r="C35" i="1"/>
  <c r="E35" i="1" s="1"/>
  <c r="F35" i="1" s="1"/>
  <c r="D34" i="1"/>
  <c r="D321" i="10" a="1"/>
  <c r="C323" i="10" a="1"/>
  <c r="C323" i="10" l="1"/>
  <c r="D321" i="10"/>
  <c r="E321" i="10" s="1"/>
  <c r="F38" i="4"/>
  <c r="E48" i="9"/>
  <c r="F48" i="9" s="1"/>
  <c r="C49" i="9"/>
  <c r="B110" i="8"/>
  <c r="C109" i="8"/>
  <c r="E108" i="8"/>
  <c r="F108" i="8" s="1"/>
  <c r="E50" i="8"/>
  <c r="F50" i="8" s="1"/>
  <c r="B52" i="8"/>
  <c r="C51" i="8"/>
  <c r="D50" i="8"/>
  <c r="E36" i="5"/>
  <c r="F36" i="5" s="1"/>
  <c r="C37" i="5"/>
  <c r="B38" i="5"/>
  <c r="C40" i="4"/>
  <c r="D40" i="4" s="1"/>
  <c r="E39" i="4"/>
  <c r="D39" i="4"/>
  <c r="C36" i="1"/>
  <c r="E36" i="1" s="1"/>
  <c r="F36" i="1" s="1"/>
  <c r="D35" i="1"/>
  <c r="C324" i="10" a="1"/>
  <c r="D322" i="10" a="1"/>
  <c r="D322" i="10" l="1"/>
  <c r="E322" i="10" s="1"/>
  <c r="C324" i="10"/>
  <c r="F39" i="4"/>
  <c r="E49" i="9"/>
  <c r="F49" i="9" s="1"/>
  <c r="C50" i="9"/>
  <c r="D49" i="9"/>
  <c r="D110" i="8"/>
  <c r="E109" i="8"/>
  <c r="F109" i="8" s="1"/>
  <c r="C110" i="8"/>
  <c r="B111" i="8"/>
  <c r="D109" i="8"/>
  <c r="E51" i="8"/>
  <c r="F51" i="8" s="1"/>
  <c r="B53" i="8"/>
  <c r="C52" i="8"/>
  <c r="D51" i="8"/>
  <c r="E37" i="5"/>
  <c r="F37" i="5" s="1"/>
  <c r="C38" i="5"/>
  <c r="D38" i="5" s="1"/>
  <c r="B39" i="5"/>
  <c r="D37" i="5"/>
  <c r="E40" i="4"/>
  <c r="C41" i="4"/>
  <c r="C37" i="1"/>
  <c r="E37" i="1" s="1"/>
  <c r="F37" i="1" s="1"/>
  <c r="D36" i="1"/>
  <c r="C325" i="10" a="1"/>
  <c r="D323" i="10" a="1"/>
  <c r="D323" i="10" l="1"/>
  <c r="E323" i="10" s="1"/>
  <c r="C325" i="10"/>
  <c r="F40" i="4"/>
  <c r="C51" i="9"/>
  <c r="E50" i="9"/>
  <c r="F50" i="9" s="1"/>
  <c r="D50" i="9"/>
  <c r="B112" i="8"/>
  <c r="C111" i="8"/>
  <c r="E110" i="8"/>
  <c r="F110" i="8" s="1"/>
  <c r="D111" i="8"/>
  <c r="E52" i="8"/>
  <c r="F52" i="8" s="1"/>
  <c r="B54" i="8"/>
  <c r="C53" i="8"/>
  <c r="D52" i="8"/>
  <c r="C39" i="5"/>
  <c r="B40" i="5"/>
  <c r="E38" i="5"/>
  <c r="F38" i="5" s="1"/>
  <c r="E41" i="4"/>
  <c r="C42" i="4"/>
  <c r="D41" i="4"/>
  <c r="C38" i="1"/>
  <c r="E38" i="1" s="1"/>
  <c r="F38" i="1" s="1"/>
  <c r="D37" i="1"/>
  <c r="D324" i="10" a="1"/>
  <c r="C326" i="10" a="1"/>
  <c r="C326" i="10" l="1"/>
  <c r="D324" i="10"/>
  <c r="E324" i="10" s="1"/>
  <c r="F41" i="4"/>
  <c r="E51" i="9"/>
  <c r="F51" i="9" s="1"/>
  <c r="D51" i="9"/>
  <c r="C52" i="9"/>
  <c r="D52" i="9" s="1"/>
  <c r="C112" i="8"/>
  <c r="B113" i="8"/>
  <c r="E111" i="8"/>
  <c r="F111" i="8" s="1"/>
  <c r="E53" i="8"/>
  <c r="F53" i="8" s="1"/>
  <c r="B55" i="8"/>
  <c r="C54" i="8"/>
  <c r="D53" i="8"/>
  <c r="E39" i="5"/>
  <c r="F39" i="5" s="1"/>
  <c r="D39" i="5"/>
  <c r="B41" i="5"/>
  <c r="C40" i="5"/>
  <c r="E42" i="4"/>
  <c r="C43" i="4"/>
  <c r="D43" i="4" s="1"/>
  <c r="D42" i="4"/>
  <c r="C39" i="1"/>
  <c r="E39" i="1" s="1"/>
  <c r="F39" i="1" s="1"/>
  <c r="D38" i="1"/>
  <c r="D325" i="10" a="1"/>
  <c r="C327" i="10" a="1"/>
  <c r="C327" i="10" l="1"/>
  <c r="D325" i="10"/>
  <c r="E325" i="10" s="1"/>
  <c r="F42" i="4"/>
  <c r="C53" i="9"/>
  <c r="D53" i="9" s="1"/>
  <c r="E52" i="9"/>
  <c r="F52" i="9" s="1"/>
  <c r="E112" i="8"/>
  <c r="F112" i="8" s="1"/>
  <c r="C113" i="8"/>
  <c r="B114" i="8"/>
  <c r="D112" i="8"/>
  <c r="E54" i="8"/>
  <c r="F54" i="8" s="1"/>
  <c r="B56" i="8"/>
  <c r="C55" i="8"/>
  <c r="D54" i="8"/>
  <c r="B42" i="5"/>
  <c r="C41" i="5"/>
  <c r="D41" i="5"/>
  <c r="E40" i="5"/>
  <c r="F40" i="5" s="1"/>
  <c r="D40" i="5"/>
  <c r="C44" i="4"/>
  <c r="D44" i="4"/>
  <c r="E43" i="4"/>
  <c r="C40" i="1"/>
  <c r="E40" i="1" s="1"/>
  <c r="F40" i="1" s="1"/>
  <c r="D39" i="1"/>
  <c r="D326" i="10" a="1"/>
  <c r="C328" i="10" a="1"/>
  <c r="C328" i="10" l="1"/>
  <c r="D326" i="10"/>
  <c r="E326" i="10" s="1"/>
  <c r="F43" i="4"/>
  <c r="E53" i="9"/>
  <c r="F53" i="9" s="1"/>
  <c r="C54" i="9"/>
  <c r="C114" i="8"/>
  <c r="B115" i="8"/>
  <c r="E113" i="8"/>
  <c r="F113" i="8" s="1"/>
  <c r="D114" i="8"/>
  <c r="D113" i="8"/>
  <c r="E55" i="8"/>
  <c r="F55" i="8" s="1"/>
  <c r="B57" i="8"/>
  <c r="C56" i="8"/>
  <c r="D55" i="8"/>
  <c r="C42" i="5"/>
  <c r="D42" i="5" s="1"/>
  <c r="B43" i="5"/>
  <c r="E41" i="5"/>
  <c r="F41" i="5" s="1"/>
  <c r="C45" i="4"/>
  <c r="D45" i="4"/>
  <c r="E44" i="4"/>
  <c r="D40" i="1"/>
  <c r="C41" i="1"/>
  <c r="E41" i="1" s="1"/>
  <c r="F41" i="1" s="1"/>
  <c r="D327" i="10" a="1"/>
  <c r="C329" i="10" a="1"/>
  <c r="C329" i="10" l="1"/>
  <c r="D327" i="10"/>
  <c r="E327" i="10" s="1"/>
  <c r="F44" i="4"/>
  <c r="E54" i="9"/>
  <c r="F54" i="9" s="1"/>
  <c r="C55" i="9"/>
  <c r="D54" i="9"/>
  <c r="C115" i="8"/>
  <c r="B116" i="8"/>
  <c r="D115" i="8"/>
  <c r="E114" i="8"/>
  <c r="F114" i="8" s="1"/>
  <c r="E56" i="8"/>
  <c r="F56" i="8" s="1"/>
  <c r="B58" i="8"/>
  <c r="C57" i="8"/>
  <c r="D56" i="8"/>
  <c r="E42" i="5"/>
  <c r="F42" i="5" s="1"/>
  <c r="B44" i="5"/>
  <c r="C43" i="5"/>
  <c r="E45" i="4"/>
  <c r="C46" i="4"/>
  <c r="D46" i="4" s="1"/>
  <c r="C42" i="1"/>
  <c r="D41" i="1"/>
  <c r="D328" i="10" a="1"/>
  <c r="C330" i="10" a="1"/>
  <c r="C330" i="10" l="1"/>
  <c r="D328" i="10"/>
  <c r="E328" i="10" s="1"/>
  <c r="F45" i="4"/>
  <c r="E55" i="9"/>
  <c r="F55" i="9" s="1"/>
  <c r="C56" i="9"/>
  <c r="D55" i="9"/>
  <c r="B117" i="8"/>
  <c r="C116" i="8"/>
  <c r="E115" i="8"/>
  <c r="F115" i="8" s="1"/>
  <c r="D116" i="8"/>
  <c r="E57" i="8"/>
  <c r="F57" i="8" s="1"/>
  <c r="B59" i="8"/>
  <c r="C58" i="8"/>
  <c r="D57" i="8"/>
  <c r="E43" i="5"/>
  <c r="F43" i="5" s="1"/>
  <c r="B45" i="5"/>
  <c r="C44" i="5"/>
  <c r="D44" i="5" s="1"/>
  <c r="D43" i="5"/>
  <c r="E46" i="4"/>
  <c r="C47" i="4"/>
  <c r="D42" i="1"/>
  <c r="E42" i="1"/>
  <c r="F42" i="1" s="1"/>
  <c r="C43" i="1"/>
  <c r="E43" i="1" s="1"/>
  <c r="F43" i="1" s="1"/>
  <c r="C331" i="10" a="1"/>
  <c r="D329" i="10" a="1"/>
  <c r="D329" i="10" l="1"/>
  <c r="E329" i="10" s="1"/>
  <c r="C331" i="10"/>
  <c r="F46" i="4"/>
  <c r="C57" i="9"/>
  <c r="D57" i="9" s="1"/>
  <c r="E56" i="9"/>
  <c r="F56" i="9" s="1"/>
  <c r="D56" i="9"/>
  <c r="C117" i="8"/>
  <c r="B118" i="8"/>
  <c r="E116" i="8"/>
  <c r="F116" i="8" s="1"/>
  <c r="D117" i="8"/>
  <c r="E58" i="8"/>
  <c r="F58" i="8" s="1"/>
  <c r="B60" i="8"/>
  <c r="C59" i="8"/>
  <c r="D58" i="8"/>
  <c r="C45" i="5"/>
  <c r="B46" i="5"/>
  <c r="E44" i="5"/>
  <c r="F44" i="5" s="1"/>
  <c r="E47" i="4"/>
  <c r="C48" i="4"/>
  <c r="D47" i="4"/>
  <c r="D43" i="1"/>
  <c r="C44" i="1"/>
  <c r="E44" i="1" s="1"/>
  <c r="F44" i="1" s="1"/>
  <c r="D330" i="10" a="1"/>
  <c r="C332" i="10" a="1"/>
  <c r="C332" i="10" l="1"/>
  <c r="D330" i="10"/>
  <c r="E330" i="10" s="1"/>
  <c r="F47" i="4"/>
  <c r="E57" i="9"/>
  <c r="F57" i="9" s="1"/>
  <c r="C58" i="9"/>
  <c r="C118" i="8"/>
  <c r="B119" i="8"/>
  <c r="E117" i="8"/>
  <c r="F117" i="8" s="1"/>
  <c r="E59" i="8"/>
  <c r="F59" i="8" s="1"/>
  <c r="B61" i="8"/>
  <c r="C60" i="8"/>
  <c r="D59" i="8"/>
  <c r="E45" i="5"/>
  <c r="F45" i="5" s="1"/>
  <c r="D45" i="5"/>
  <c r="B47" i="5"/>
  <c r="C46" i="5"/>
  <c r="E48" i="4"/>
  <c r="C49" i="4"/>
  <c r="D48" i="4"/>
  <c r="C45" i="1"/>
  <c r="E45" i="1" s="1"/>
  <c r="F45" i="1" s="1"/>
  <c r="D44" i="1"/>
  <c r="D331" i="10" a="1"/>
  <c r="C333" i="10" a="1"/>
  <c r="C333" i="10" l="1"/>
  <c r="D331" i="10"/>
  <c r="E331" i="10" s="1"/>
  <c r="F48" i="4"/>
  <c r="C59" i="9"/>
  <c r="D59" i="9" s="1"/>
  <c r="E58" i="9"/>
  <c r="F58" i="9" s="1"/>
  <c r="D58" i="9"/>
  <c r="B120" i="8"/>
  <c r="C119" i="8"/>
  <c r="E118" i="8"/>
  <c r="F118" i="8" s="1"/>
  <c r="D119" i="8"/>
  <c r="D118" i="8"/>
  <c r="E60" i="8"/>
  <c r="F60" i="8" s="1"/>
  <c r="B62" i="8"/>
  <c r="C61" i="8"/>
  <c r="D61" i="8" s="1"/>
  <c r="D60" i="8"/>
  <c r="E46" i="5"/>
  <c r="F46" i="5" s="1"/>
  <c r="C47" i="5"/>
  <c r="B48" i="5"/>
  <c r="D46" i="5"/>
  <c r="C50" i="4"/>
  <c r="D50" i="4" s="1"/>
  <c r="E49" i="4"/>
  <c r="D49" i="4"/>
  <c r="D45" i="1"/>
  <c r="C46" i="1"/>
  <c r="C334" i="10" a="1"/>
  <c r="D332" i="10" a="1"/>
  <c r="D332" i="10" l="1"/>
  <c r="E332" i="10" s="1"/>
  <c r="C334" i="10"/>
  <c r="F49" i="4"/>
  <c r="E59" i="9"/>
  <c r="F59" i="9" s="1"/>
  <c r="C60" i="9"/>
  <c r="C120" i="8"/>
  <c r="B121" i="8"/>
  <c r="E119" i="8"/>
  <c r="F119" i="8" s="1"/>
  <c r="D120" i="8"/>
  <c r="E61" i="8"/>
  <c r="F61" i="8" s="1"/>
  <c r="B63" i="8"/>
  <c r="C62" i="8"/>
  <c r="D62" i="8" s="1"/>
  <c r="C48" i="5"/>
  <c r="D48" i="5" s="1"/>
  <c r="B49" i="5"/>
  <c r="E47" i="5"/>
  <c r="F47" i="5" s="1"/>
  <c r="D47" i="5"/>
  <c r="C51" i="4"/>
  <c r="E50" i="4"/>
  <c r="D46" i="1"/>
  <c r="E46" i="1"/>
  <c r="F46" i="1" s="1"/>
  <c r="C47" i="1"/>
  <c r="E47" i="1" s="1"/>
  <c r="F47" i="1" s="1"/>
  <c r="C335" i="10" a="1"/>
  <c r="D333" i="10" a="1"/>
  <c r="D333" i="10" l="1"/>
  <c r="E333" i="10" s="1"/>
  <c r="C335" i="10"/>
  <c r="F50" i="4"/>
  <c r="E60" i="9"/>
  <c r="F60" i="9" s="1"/>
  <c r="C61" i="9"/>
  <c r="D60" i="9"/>
  <c r="B122" i="8"/>
  <c r="C121" i="8"/>
  <c r="E120" i="8"/>
  <c r="F120" i="8" s="1"/>
  <c r="E62" i="8"/>
  <c r="F62" i="8" s="1"/>
  <c r="B64" i="8"/>
  <c r="C63" i="8"/>
  <c r="D63" i="8" s="1"/>
  <c r="C49" i="5"/>
  <c r="B50" i="5"/>
  <c r="E48" i="5"/>
  <c r="F48" i="5" s="1"/>
  <c r="D49" i="5"/>
  <c r="E51" i="4"/>
  <c r="D51" i="4"/>
  <c r="C52" i="4"/>
  <c r="D47" i="1"/>
  <c r="C48" i="1"/>
  <c r="E48" i="1" s="1"/>
  <c r="F48" i="1" s="1"/>
  <c r="D334" i="10" a="1"/>
  <c r="C336" i="10" a="1"/>
  <c r="C336" i="10" l="1"/>
  <c r="D334" i="10"/>
  <c r="E334" i="10" s="1"/>
  <c r="F51" i="4"/>
  <c r="E61" i="9"/>
  <c r="F61" i="9" s="1"/>
  <c r="C62" i="9"/>
  <c r="D61" i="9"/>
  <c r="E121" i="8"/>
  <c r="F121" i="8" s="1"/>
  <c r="C122" i="8"/>
  <c r="B123" i="8"/>
  <c r="D121" i="8"/>
  <c r="E63" i="8"/>
  <c r="F63" i="8" s="1"/>
  <c r="B65" i="8"/>
  <c r="C64" i="8"/>
  <c r="B51" i="5"/>
  <c r="C50" i="5"/>
  <c r="D50" i="5"/>
  <c r="E49" i="5"/>
  <c r="F49" i="5" s="1"/>
  <c r="C53" i="4"/>
  <c r="D53" i="4" s="1"/>
  <c r="E52" i="4"/>
  <c r="D52" i="4"/>
  <c r="C49" i="1"/>
  <c r="E49" i="1" s="1"/>
  <c r="F49" i="1" s="1"/>
  <c r="D48" i="1"/>
  <c r="C337" i="10" a="1"/>
  <c r="D335" i="10" a="1"/>
  <c r="D335" i="10" l="1"/>
  <c r="E335" i="10" s="1"/>
  <c r="C337" i="10"/>
  <c r="F52" i="4"/>
  <c r="E62" i="9"/>
  <c r="F62" i="9" s="1"/>
  <c r="C63" i="9"/>
  <c r="D62" i="9"/>
  <c r="C123" i="8"/>
  <c r="B124" i="8"/>
  <c r="E122" i="8"/>
  <c r="F122" i="8" s="1"/>
  <c r="D122" i="8"/>
  <c r="E64" i="8"/>
  <c r="F64" i="8" s="1"/>
  <c r="B66" i="8"/>
  <c r="C65" i="8"/>
  <c r="D64" i="8"/>
  <c r="B52" i="5"/>
  <c r="C51" i="5"/>
  <c r="D51" i="5"/>
  <c r="E50" i="5"/>
  <c r="F50" i="5" s="1"/>
  <c r="E53" i="4"/>
  <c r="C54" i="4"/>
  <c r="C50" i="1"/>
  <c r="E50" i="1" s="1"/>
  <c r="F50" i="1" s="1"/>
  <c r="D49" i="1"/>
  <c r="C338" i="10" a="1"/>
  <c r="D336" i="10" a="1"/>
  <c r="D336" i="10" l="1"/>
  <c r="E336" i="10" s="1"/>
  <c r="C338" i="10"/>
  <c r="F53" i="4"/>
  <c r="E63" i="9"/>
  <c r="F63" i="9" s="1"/>
  <c r="C64" i="9"/>
  <c r="D63" i="9"/>
  <c r="B125" i="8"/>
  <c r="C124" i="8"/>
  <c r="E123" i="8"/>
  <c r="F123" i="8" s="1"/>
  <c r="D123" i="8"/>
  <c r="E65" i="8"/>
  <c r="F65" i="8" s="1"/>
  <c r="B67" i="8"/>
  <c r="C66" i="8"/>
  <c r="D65" i="8"/>
  <c r="E51" i="5"/>
  <c r="F51" i="5" s="1"/>
  <c r="C52" i="5"/>
  <c r="D52" i="5" s="1"/>
  <c r="B53" i="5"/>
  <c r="E54" i="4"/>
  <c r="C55" i="4"/>
  <c r="D54" i="4"/>
  <c r="C51" i="1"/>
  <c r="E51" i="1" s="1"/>
  <c r="F51" i="1" s="1"/>
  <c r="D50" i="1"/>
  <c r="D337" i="10" a="1"/>
  <c r="C339" i="10" a="1"/>
  <c r="C339" i="10" l="1"/>
  <c r="D337" i="10"/>
  <c r="E337" i="10" s="1"/>
  <c r="F54" i="4"/>
  <c r="E64" i="9"/>
  <c r="F64" i="9" s="1"/>
  <c r="C65" i="9"/>
  <c r="D65" i="9" s="1"/>
  <c r="D64" i="9"/>
  <c r="D125" i="8"/>
  <c r="E124" i="8"/>
  <c r="F124" i="8" s="1"/>
  <c r="D124" i="8"/>
  <c r="C125" i="8"/>
  <c r="B126" i="8"/>
  <c r="E66" i="8"/>
  <c r="F66" i="8" s="1"/>
  <c r="B68" i="8"/>
  <c r="C67" i="8"/>
  <c r="D66" i="8"/>
  <c r="B54" i="5"/>
  <c r="C53" i="5"/>
  <c r="D53" i="5" s="1"/>
  <c r="E52" i="5"/>
  <c r="F52" i="5" s="1"/>
  <c r="E55" i="4"/>
  <c r="C56" i="4"/>
  <c r="D56" i="4" s="1"/>
  <c r="D55" i="4"/>
  <c r="C52" i="1"/>
  <c r="E52" i="1" s="1"/>
  <c r="F52" i="1" s="1"/>
  <c r="D51" i="1"/>
  <c r="C340" i="10" a="1"/>
  <c r="D338" i="10" a="1"/>
  <c r="D338" i="10" l="1"/>
  <c r="E338" i="10" s="1"/>
  <c r="C340" i="10"/>
  <c r="F55" i="4"/>
  <c r="E65" i="9"/>
  <c r="F65" i="9" s="1"/>
  <c r="C66" i="9"/>
  <c r="C126" i="8"/>
  <c r="D126" i="8" s="1"/>
  <c r="B127" i="8"/>
  <c r="E125" i="8"/>
  <c r="F125" i="8" s="1"/>
  <c r="E67" i="8"/>
  <c r="F67" i="8" s="1"/>
  <c r="B69" i="8"/>
  <c r="C68" i="8"/>
  <c r="D68" i="8" s="1"/>
  <c r="D67" i="8"/>
  <c r="B55" i="5"/>
  <c r="C54" i="5"/>
  <c r="E53" i="5"/>
  <c r="F53" i="5" s="1"/>
  <c r="C57" i="4"/>
  <c r="E56" i="4"/>
  <c r="D57" i="4"/>
  <c r="C53" i="1"/>
  <c r="E53" i="1" s="1"/>
  <c r="F53" i="1" s="1"/>
  <c r="D52" i="1"/>
  <c r="C341" i="10" a="1"/>
  <c r="D339" i="10" a="1"/>
  <c r="D339" i="10" l="1"/>
  <c r="E339" i="10" s="1"/>
  <c r="C341" i="10"/>
  <c r="F56" i="4"/>
  <c r="E66" i="9"/>
  <c r="F66" i="9" s="1"/>
  <c r="C67" i="9"/>
  <c r="D66" i="9"/>
  <c r="E126" i="8"/>
  <c r="F126" i="8" s="1"/>
  <c r="D127" i="8"/>
  <c r="B128" i="8"/>
  <c r="C127" i="8"/>
  <c r="B70" i="8"/>
  <c r="C69" i="8"/>
  <c r="D69" i="8" s="1"/>
  <c r="E68" i="8"/>
  <c r="F68" i="8" s="1"/>
  <c r="C55" i="5"/>
  <c r="B56" i="5"/>
  <c r="E54" i="5"/>
  <c r="F54" i="5" s="1"/>
  <c r="D54" i="5"/>
  <c r="C58" i="4"/>
  <c r="E57" i="4"/>
  <c r="C54" i="1"/>
  <c r="D53" i="1"/>
  <c r="D340" i="10" a="1"/>
  <c r="C342" i="10" a="1"/>
  <c r="C342" i="10" l="1"/>
  <c r="D340" i="10"/>
  <c r="E340" i="10" s="1"/>
  <c r="F57" i="4"/>
  <c r="E67" i="9"/>
  <c r="F67" i="9" s="1"/>
  <c r="C68" i="9"/>
  <c r="D67" i="9"/>
  <c r="E127" i="8"/>
  <c r="F127" i="8" s="1"/>
  <c r="D128" i="8"/>
  <c r="C128" i="8"/>
  <c r="B129" i="8"/>
  <c r="E69" i="8"/>
  <c r="F69" i="8" s="1"/>
  <c r="B71" i="8"/>
  <c r="C70" i="8"/>
  <c r="E55" i="5"/>
  <c r="F55" i="5" s="1"/>
  <c r="D55" i="5"/>
  <c r="B57" i="5"/>
  <c r="C56" i="5"/>
  <c r="D56" i="5" s="1"/>
  <c r="E58" i="4"/>
  <c r="D58" i="4"/>
  <c r="C59" i="4"/>
  <c r="D54" i="1"/>
  <c r="E54" i="1"/>
  <c r="F54" i="1" s="1"/>
  <c r="C55" i="1"/>
  <c r="E55" i="1" s="1"/>
  <c r="F55" i="1" s="1"/>
  <c r="C343" i="10" a="1"/>
  <c r="D341" i="10" a="1"/>
  <c r="D341" i="10" l="1"/>
  <c r="E341" i="10" s="1"/>
  <c r="C343" i="10"/>
  <c r="F58" i="4"/>
  <c r="C69" i="9"/>
  <c r="D69" i="9" s="1"/>
  <c r="E68" i="9"/>
  <c r="F68" i="9" s="1"/>
  <c r="D68" i="9"/>
  <c r="C129" i="8"/>
  <c r="D129" i="8" s="1"/>
  <c r="B130" i="8"/>
  <c r="E128" i="8"/>
  <c r="F128" i="8" s="1"/>
  <c r="E70" i="8"/>
  <c r="F70" i="8" s="1"/>
  <c r="B72" i="8"/>
  <c r="C71" i="8"/>
  <c r="D70" i="8"/>
  <c r="E56" i="5"/>
  <c r="F56" i="5" s="1"/>
  <c r="B58" i="5"/>
  <c r="C57" i="5"/>
  <c r="D57" i="5" s="1"/>
  <c r="C60" i="4"/>
  <c r="D60" i="4"/>
  <c r="E59" i="4"/>
  <c r="D59" i="4"/>
  <c r="D55" i="1"/>
  <c r="C56" i="1"/>
  <c r="D342" i="10" a="1"/>
  <c r="C344" i="10" a="1"/>
  <c r="C344" i="10" l="1"/>
  <c r="D342" i="10"/>
  <c r="E342" i="10" s="1"/>
  <c r="F59" i="4"/>
  <c r="E69" i="9"/>
  <c r="F69" i="9" s="1"/>
  <c r="C70" i="9"/>
  <c r="D70" i="9" s="1"/>
  <c r="C130" i="8"/>
  <c r="D130" i="8" s="1"/>
  <c r="B131" i="8"/>
  <c r="E129" i="8"/>
  <c r="F129" i="8" s="1"/>
  <c r="E71" i="8"/>
  <c r="F71" i="8" s="1"/>
  <c r="B73" i="8"/>
  <c r="C72" i="8"/>
  <c r="D71" i="8"/>
  <c r="E57" i="5"/>
  <c r="F57" i="5" s="1"/>
  <c r="C58" i="5"/>
  <c r="B59" i="5"/>
  <c r="C61" i="4"/>
  <c r="D61" i="4" s="1"/>
  <c r="E60" i="4"/>
  <c r="D56" i="1"/>
  <c r="E56" i="1"/>
  <c r="F56" i="1" s="1"/>
  <c r="C57" i="1"/>
  <c r="E57" i="1" s="1"/>
  <c r="F57" i="1" s="1"/>
  <c r="C345" i="10" a="1"/>
  <c r="D343" i="10" a="1"/>
  <c r="D343" i="10" l="1"/>
  <c r="E343" i="10" s="1"/>
  <c r="C345" i="10"/>
  <c r="F60" i="4"/>
  <c r="C71" i="9"/>
  <c r="E70" i="9"/>
  <c r="F70" i="9" s="1"/>
  <c r="B132" i="8"/>
  <c r="C131" i="8"/>
  <c r="D131" i="8"/>
  <c r="E130" i="8"/>
  <c r="F130" i="8" s="1"/>
  <c r="E72" i="8"/>
  <c r="F72" i="8" s="1"/>
  <c r="B74" i="8"/>
  <c r="C73" i="8"/>
  <c r="D72" i="8"/>
  <c r="C59" i="5"/>
  <c r="B60" i="5"/>
  <c r="E58" i="5"/>
  <c r="F58" i="5" s="1"/>
  <c r="D59" i="5"/>
  <c r="D58" i="5"/>
  <c r="E61" i="4"/>
  <c r="C62" i="4"/>
  <c r="C58" i="1"/>
  <c r="E58" i="1" s="1"/>
  <c r="F58" i="1" s="1"/>
  <c r="D57" i="1"/>
  <c r="D344" i="10" a="1"/>
  <c r="C346" i="10" a="1"/>
  <c r="C346" i="10" l="1"/>
  <c r="D344" i="10"/>
  <c r="E344" i="10" s="1"/>
  <c r="F61" i="4"/>
  <c r="E71" i="9"/>
  <c r="F71" i="9" s="1"/>
  <c r="C72" i="9"/>
  <c r="D72" i="9" s="1"/>
  <c r="D71" i="9"/>
  <c r="E131" i="8"/>
  <c r="F131" i="8" s="1"/>
  <c r="D132" i="8"/>
  <c r="C132" i="8"/>
  <c r="B133" i="8"/>
  <c r="E73" i="8"/>
  <c r="F73" i="8" s="1"/>
  <c r="B75" i="8"/>
  <c r="C74" i="8"/>
  <c r="D73" i="8"/>
  <c r="B61" i="5"/>
  <c r="C60" i="5"/>
  <c r="D60" i="5" s="1"/>
  <c r="E59" i="5"/>
  <c r="F59" i="5" s="1"/>
  <c r="C63" i="4"/>
  <c r="E62" i="4"/>
  <c r="D63" i="4"/>
  <c r="D62" i="4"/>
  <c r="C59" i="1"/>
  <c r="E59" i="1" s="1"/>
  <c r="F59" i="1" s="1"/>
  <c r="D58" i="1"/>
  <c r="C347" i="10" a="1"/>
  <c r="D345" i="10" a="1"/>
  <c r="D345" i="10" l="1"/>
  <c r="E345" i="10" s="1"/>
  <c r="C347" i="10"/>
  <c r="F62" i="4"/>
  <c r="E72" i="9"/>
  <c r="F72" i="9" s="1"/>
  <c r="C73" i="9"/>
  <c r="B134" i="8"/>
  <c r="C133" i="8"/>
  <c r="D133" i="8"/>
  <c r="E132" i="8"/>
  <c r="F132" i="8" s="1"/>
  <c r="E74" i="8"/>
  <c r="F74" i="8" s="1"/>
  <c r="B76" i="8"/>
  <c r="C75" i="8"/>
  <c r="D74" i="8"/>
  <c r="E60" i="5"/>
  <c r="F60" i="5" s="1"/>
  <c r="B62" i="5"/>
  <c r="C61" i="5"/>
  <c r="E63" i="4"/>
  <c r="C64" i="4"/>
  <c r="C60" i="1"/>
  <c r="E60" i="1" s="1"/>
  <c r="F60" i="1" s="1"/>
  <c r="D59" i="1"/>
  <c r="D346" i="10" a="1"/>
  <c r="C348" i="10" a="1"/>
  <c r="C348" i="10" l="1"/>
  <c r="D346" i="10"/>
  <c r="E346" i="10" s="1"/>
  <c r="F63" i="4"/>
  <c r="E73" i="9"/>
  <c r="F73" i="9" s="1"/>
  <c r="C74" i="9"/>
  <c r="D74" i="9" s="1"/>
  <c r="D73" i="9"/>
  <c r="E133" i="8"/>
  <c r="F133" i="8" s="1"/>
  <c r="D134" i="8"/>
  <c r="B135" i="8"/>
  <c r="C134" i="8"/>
  <c r="E75" i="8"/>
  <c r="F75" i="8" s="1"/>
  <c r="B77" i="8"/>
  <c r="C76" i="8"/>
  <c r="D75" i="8"/>
  <c r="E61" i="5"/>
  <c r="F61" i="5" s="1"/>
  <c r="D61" i="5"/>
  <c r="C62" i="5"/>
  <c r="D62" i="5" s="1"/>
  <c r="B63" i="5"/>
  <c r="E64" i="4"/>
  <c r="C65" i="4"/>
  <c r="D64" i="4"/>
  <c r="C61" i="1"/>
  <c r="E61" i="1" s="1"/>
  <c r="F61" i="1" s="1"/>
  <c r="D60" i="1"/>
  <c r="C349" i="10" a="1"/>
  <c r="D347" i="10" a="1"/>
  <c r="D347" i="10" l="1"/>
  <c r="E347" i="10" s="1"/>
  <c r="C349" i="10"/>
  <c r="F64" i="4"/>
  <c r="E74" i="9"/>
  <c r="F74" i="9" s="1"/>
  <c r="C75" i="9"/>
  <c r="E134" i="8"/>
  <c r="F134" i="8" s="1"/>
  <c r="B136" i="8"/>
  <c r="C135" i="8"/>
  <c r="E76" i="8"/>
  <c r="F76" i="8" s="1"/>
  <c r="D76" i="8"/>
  <c r="B78" i="8"/>
  <c r="C77" i="8"/>
  <c r="B64" i="5"/>
  <c r="C63" i="5"/>
  <c r="D63" i="5" s="1"/>
  <c r="E62" i="5"/>
  <c r="F62" i="5" s="1"/>
  <c r="E65" i="4"/>
  <c r="C66" i="4"/>
  <c r="D66" i="4" s="1"/>
  <c r="D65" i="4"/>
  <c r="C62" i="1"/>
  <c r="E62" i="1" s="1"/>
  <c r="F62" i="1" s="1"/>
  <c r="D61" i="1"/>
  <c r="C350" i="10" a="1"/>
  <c r="D348" i="10" a="1"/>
  <c r="D348" i="10" l="1"/>
  <c r="E348" i="10" s="1"/>
  <c r="C350" i="10"/>
  <c r="F65" i="4"/>
  <c r="E75" i="9"/>
  <c r="F75" i="9" s="1"/>
  <c r="D75" i="9"/>
  <c r="E135" i="8"/>
  <c r="F135" i="8" s="1"/>
  <c r="D136" i="8"/>
  <c r="C136" i="8"/>
  <c r="B137" i="8"/>
  <c r="D135" i="8"/>
  <c r="E77" i="8"/>
  <c r="F77" i="8" s="1"/>
  <c r="B79" i="8"/>
  <c r="C78" i="8"/>
  <c r="D77" i="8"/>
  <c r="B65" i="5"/>
  <c r="C64" i="5"/>
  <c r="D64" i="5"/>
  <c r="E63" i="5"/>
  <c r="F63" i="5" s="1"/>
  <c r="C67" i="4"/>
  <c r="D67" i="4" s="1"/>
  <c r="E66" i="4"/>
  <c r="C63" i="1"/>
  <c r="E63" i="1" s="1"/>
  <c r="F63" i="1" s="1"/>
  <c r="D62" i="1"/>
  <c r="D349" i="10" a="1"/>
  <c r="C351" i="10" a="1"/>
  <c r="C351" i="10" l="1"/>
  <c r="D349" i="10"/>
  <c r="E349" i="10" s="1"/>
  <c r="F66" i="4"/>
  <c r="C137" i="8"/>
  <c r="B138" i="8"/>
  <c r="E136" i="8"/>
  <c r="F136" i="8" s="1"/>
  <c r="D137" i="8"/>
  <c r="B80" i="8"/>
  <c r="C79" i="8"/>
  <c r="D79" i="8" s="1"/>
  <c r="E78" i="8"/>
  <c r="F78" i="8" s="1"/>
  <c r="D78" i="8"/>
  <c r="E64" i="5"/>
  <c r="F64" i="5" s="1"/>
  <c r="C65" i="5"/>
  <c r="D65" i="5" s="1"/>
  <c r="B66" i="5"/>
  <c r="E67" i="4"/>
  <c r="C68" i="4"/>
  <c r="C64" i="1"/>
  <c r="E64" i="1" s="1"/>
  <c r="F64" i="1" s="1"/>
  <c r="D63" i="1"/>
  <c r="C352" i="10" a="1"/>
  <c r="D350" i="10" a="1"/>
  <c r="D350" i="10" l="1"/>
  <c r="E350" i="10" s="1"/>
  <c r="C352" i="10"/>
  <c r="F67" i="4"/>
  <c r="C138" i="8"/>
  <c r="B139" i="8"/>
  <c r="E137" i="8"/>
  <c r="F137" i="8" s="1"/>
  <c r="D138" i="8"/>
  <c r="B81" i="8"/>
  <c r="C80" i="8"/>
  <c r="D80" i="8" s="1"/>
  <c r="E79" i="8"/>
  <c r="F79" i="8" s="1"/>
  <c r="B67" i="5"/>
  <c r="C66" i="5"/>
  <c r="E65" i="5"/>
  <c r="F65" i="5" s="1"/>
  <c r="D66" i="5"/>
  <c r="E68" i="4"/>
  <c r="C69" i="4"/>
  <c r="D68" i="4"/>
  <c r="C65" i="1"/>
  <c r="E65" i="1" s="1"/>
  <c r="F65" i="1" s="1"/>
  <c r="D64" i="1"/>
  <c r="C353" i="10" a="1"/>
  <c r="D351" i="10" a="1"/>
  <c r="D351" i="10" l="1"/>
  <c r="E351" i="10" s="1"/>
  <c r="C353" i="10"/>
  <c r="F68" i="4"/>
  <c r="B140" i="8"/>
  <c r="C139" i="8"/>
  <c r="E138" i="8"/>
  <c r="F138" i="8" s="1"/>
  <c r="D139" i="8"/>
  <c r="E80" i="8"/>
  <c r="F80" i="8" s="1"/>
  <c r="B82" i="8"/>
  <c r="C81" i="8"/>
  <c r="E66" i="5"/>
  <c r="F66" i="5" s="1"/>
  <c r="B68" i="5"/>
  <c r="C67" i="5"/>
  <c r="D67" i="5" s="1"/>
  <c r="C70" i="4"/>
  <c r="D70" i="4" s="1"/>
  <c r="E69" i="4"/>
  <c r="D69" i="4"/>
  <c r="C66" i="1"/>
  <c r="E66" i="1" s="1"/>
  <c r="F66" i="1" s="1"/>
  <c r="D65" i="1"/>
  <c r="C354" i="10" a="1"/>
  <c r="D352" i="10" a="1"/>
  <c r="D352" i="10" l="1"/>
  <c r="E352" i="10" s="1"/>
  <c r="C354" i="10"/>
  <c r="F69" i="4"/>
  <c r="D140" i="8"/>
  <c r="E139" i="8"/>
  <c r="F139" i="8" s="1"/>
  <c r="C140" i="8"/>
  <c r="B141" i="8"/>
  <c r="E81" i="8"/>
  <c r="F81" i="8" s="1"/>
  <c r="B83" i="8"/>
  <c r="C82" i="8"/>
  <c r="D81" i="8"/>
  <c r="C68" i="5"/>
  <c r="B69" i="5"/>
  <c r="D68" i="5"/>
  <c r="E67" i="5"/>
  <c r="F67" i="5" s="1"/>
  <c r="E70" i="4"/>
  <c r="C71" i="4"/>
  <c r="C67" i="1"/>
  <c r="E67" i="1" s="1"/>
  <c r="F67" i="1" s="1"/>
  <c r="D66" i="1"/>
  <c r="D353" i="10" a="1"/>
  <c r="C355" i="10" a="1"/>
  <c r="C355" i="10" l="1"/>
  <c r="D353" i="10"/>
  <c r="E353" i="10" s="1"/>
  <c r="F70" i="4"/>
  <c r="B142" i="8"/>
  <c r="C141" i="8"/>
  <c r="D141" i="8" s="1"/>
  <c r="E140" i="8"/>
  <c r="F140" i="8" s="1"/>
  <c r="E82" i="8"/>
  <c r="F82" i="8" s="1"/>
  <c r="B84" i="8"/>
  <c r="C83" i="8"/>
  <c r="D82" i="8"/>
  <c r="C69" i="5"/>
  <c r="B70" i="5"/>
  <c r="E68" i="5"/>
  <c r="F68" i="5" s="1"/>
  <c r="E71" i="4"/>
  <c r="C72" i="4"/>
  <c r="D71" i="4"/>
  <c r="C68" i="1"/>
  <c r="E68" i="1" s="1"/>
  <c r="F68" i="1" s="1"/>
  <c r="D67" i="1"/>
  <c r="C356" i="10" a="1"/>
  <c r="D354" i="10" a="1"/>
  <c r="D354" i="10" l="1"/>
  <c r="E354" i="10" s="1"/>
  <c r="C356" i="10"/>
  <c r="F71" i="4"/>
  <c r="B143" i="8"/>
  <c r="C142" i="8"/>
  <c r="D142" i="8"/>
  <c r="E141" i="8"/>
  <c r="F141" i="8" s="1"/>
  <c r="E83" i="8"/>
  <c r="F83" i="8" s="1"/>
  <c r="B85" i="8"/>
  <c r="C85" i="8" s="1"/>
  <c r="C84" i="8"/>
  <c r="D83" i="8"/>
  <c r="B71" i="5"/>
  <c r="C70" i="5"/>
  <c r="D70" i="5"/>
  <c r="E69" i="5"/>
  <c r="F69" i="5" s="1"/>
  <c r="D69" i="5"/>
  <c r="C73" i="4"/>
  <c r="D73" i="4" s="1"/>
  <c r="E72" i="4"/>
  <c r="D72" i="4"/>
  <c r="C69" i="1"/>
  <c r="E69" i="1" s="1"/>
  <c r="F69" i="1" s="1"/>
  <c r="D68" i="1"/>
  <c r="D355" i="10" a="1"/>
  <c r="C357" i="10" a="1"/>
  <c r="C357" i="10" l="1"/>
  <c r="D355" i="10"/>
  <c r="E355" i="10" s="1"/>
  <c r="F72" i="4"/>
  <c r="E85" i="8"/>
  <c r="F85" i="8" s="1"/>
  <c r="D86" i="8"/>
  <c r="E142" i="8"/>
  <c r="F142" i="8" s="1"/>
  <c r="C143" i="8"/>
  <c r="B144" i="8"/>
  <c r="D85" i="8"/>
  <c r="E84" i="8"/>
  <c r="F84" i="8" s="1"/>
  <c r="D84" i="8"/>
  <c r="E70" i="5"/>
  <c r="F70" i="5" s="1"/>
  <c r="B72" i="5"/>
  <c r="C71" i="5"/>
  <c r="C74" i="4"/>
  <c r="D74" i="4" s="1"/>
  <c r="E73" i="4"/>
  <c r="D69" i="1"/>
  <c r="C70" i="1"/>
  <c r="E70" i="1" s="1"/>
  <c r="F70" i="1" s="1"/>
  <c r="C358" i="10" a="1"/>
  <c r="D356" i="10" a="1"/>
  <c r="D356" i="10" l="1"/>
  <c r="E356" i="10" s="1"/>
  <c r="C358" i="10"/>
  <c r="F73" i="4"/>
  <c r="E143" i="8"/>
  <c r="F143" i="8" s="1"/>
  <c r="C144" i="8"/>
  <c r="B145" i="8"/>
  <c r="D143" i="8"/>
  <c r="E71" i="5"/>
  <c r="F71" i="5" s="1"/>
  <c r="C72" i="5"/>
  <c r="B73" i="5"/>
  <c r="D71" i="5"/>
  <c r="C75" i="4"/>
  <c r="D75" i="4" s="1"/>
  <c r="E74" i="4"/>
  <c r="C71" i="1"/>
  <c r="E71" i="1" s="1"/>
  <c r="F71" i="1" s="1"/>
  <c r="D70" i="1"/>
  <c r="C359" i="10" a="1"/>
  <c r="D357" i="10" a="1"/>
  <c r="D357" i="10" l="1"/>
  <c r="E357" i="10" s="1"/>
  <c r="C359" i="10"/>
  <c r="F74" i="4"/>
  <c r="C145" i="8"/>
  <c r="B146" i="8"/>
  <c r="E144" i="8"/>
  <c r="F144" i="8" s="1"/>
  <c r="D144" i="8"/>
  <c r="C73" i="5"/>
  <c r="E72" i="5"/>
  <c r="F72" i="5" s="1"/>
  <c r="D72" i="5"/>
  <c r="E75" i="4"/>
  <c r="C76" i="4"/>
  <c r="D76" i="4" s="1"/>
  <c r="D71" i="1"/>
  <c r="C72" i="1"/>
  <c r="E72" i="1" s="1"/>
  <c r="F72" i="1" s="1"/>
  <c r="D358" i="10" a="1"/>
  <c r="C360" i="10" a="1"/>
  <c r="C360" i="10" l="1"/>
  <c r="D358" i="10"/>
  <c r="E358" i="10" s="1"/>
  <c r="F75" i="4"/>
  <c r="E145" i="8"/>
  <c r="F145" i="8" s="1"/>
  <c r="D145" i="8"/>
  <c r="B147" i="8"/>
  <c r="C146" i="8"/>
  <c r="E73" i="5"/>
  <c r="F73" i="5" s="1"/>
  <c r="D73" i="5"/>
  <c r="C77" i="4"/>
  <c r="E76" i="4"/>
  <c r="D77" i="4"/>
  <c r="D72" i="1"/>
  <c r="C73" i="1"/>
  <c r="E73" i="1" s="1"/>
  <c r="F73" i="1" s="1"/>
  <c r="D73" i="1"/>
  <c r="C361" i="10" a="1"/>
  <c r="D359" i="10" a="1"/>
  <c r="D359" i="10" l="1"/>
  <c r="E359" i="10" s="1"/>
  <c r="C361" i="10"/>
  <c r="F76" i="4"/>
  <c r="E146" i="8"/>
  <c r="F146" i="8" s="1"/>
  <c r="D146" i="8"/>
  <c r="B148" i="8"/>
  <c r="C148" i="8" s="1"/>
  <c r="D149" i="8" s="1"/>
  <c r="C147" i="8"/>
  <c r="D147" i="8" s="1"/>
  <c r="E77" i="4"/>
  <c r="C78" i="4"/>
  <c r="C74" i="1"/>
  <c r="E74" i="1" s="1"/>
  <c r="F74" i="1" s="1"/>
  <c r="D74" i="1"/>
  <c r="C362" i="10" a="1"/>
  <c r="D360" i="10" a="1"/>
  <c r="D360" i="10" l="1"/>
  <c r="E360" i="10" s="1"/>
  <c r="C362" i="10"/>
  <c r="F77" i="4"/>
  <c r="E148" i="8"/>
  <c r="F148" i="8" s="1"/>
  <c r="D148" i="8"/>
  <c r="E147" i="8"/>
  <c r="F147" i="8" s="1"/>
  <c r="E78" i="4"/>
  <c r="C79" i="4"/>
  <c r="D78" i="4"/>
  <c r="C75" i="1"/>
  <c r="E75" i="1" s="1"/>
  <c r="F75" i="1" s="1"/>
  <c r="D361" i="10" a="1"/>
  <c r="C363" i="10" a="1"/>
  <c r="C363" i="10" l="1"/>
  <c r="D361" i="10"/>
  <c r="E361" i="10" s="1"/>
  <c r="F78" i="4"/>
  <c r="C80" i="4"/>
  <c r="D80" i="4" s="1"/>
  <c r="E79" i="4"/>
  <c r="D79" i="4"/>
  <c r="C76" i="1"/>
  <c r="E76" i="1" s="1"/>
  <c r="F76" i="1" s="1"/>
  <c r="D75" i="1"/>
  <c r="C364" i="10" a="1"/>
  <c r="D362" i="10" a="1"/>
  <c r="D362" i="10" l="1"/>
  <c r="E362" i="10" s="1"/>
  <c r="C364" i="10"/>
  <c r="F79" i="4"/>
  <c r="E80" i="4"/>
  <c r="C81" i="4"/>
  <c r="C77" i="1"/>
  <c r="E77" i="1" s="1"/>
  <c r="F77" i="1" s="1"/>
  <c r="D76" i="1"/>
  <c r="D363" i="10" a="1"/>
  <c r="C365" i="10" a="1"/>
  <c r="C365" i="10" l="1"/>
  <c r="D363" i="10"/>
  <c r="E363" i="10" s="1"/>
  <c r="F80" i="4"/>
  <c r="E81" i="4"/>
  <c r="C82" i="4"/>
  <c r="D81" i="4"/>
  <c r="C78" i="1"/>
  <c r="E78" i="1" s="1"/>
  <c r="F78" i="1" s="1"/>
  <c r="D77" i="1"/>
  <c r="D364" i="10" a="1"/>
  <c r="C366" i="10" a="1"/>
  <c r="C366" i="10" l="1"/>
  <c r="D364" i="10"/>
  <c r="E364" i="10" s="1"/>
  <c r="F81" i="4"/>
  <c r="C83" i="4"/>
  <c r="D83" i="4" s="1"/>
  <c r="E82" i="4"/>
  <c r="D82" i="4"/>
  <c r="C79" i="1"/>
  <c r="E79" i="1" s="1"/>
  <c r="F79" i="1" s="1"/>
  <c r="D78" i="1"/>
  <c r="C367" i="10" a="1"/>
  <c r="D365" i="10" a="1"/>
  <c r="D365" i="10" l="1"/>
  <c r="E365" i="10" s="1"/>
  <c r="C367" i="10"/>
  <c r="F82" i="4"/>
  <c r="E83" i="4"/>
  <c r="C84" i="4"/>
  <c r="C80" i="1"/>
  <c r="E80" i="1" s="1"/>
  <c r="F80" i="1" s="1"/>
  <c r="D79" i="1"/>
  <c r="C368" i="10" a="1"/>
  <c r="D366" i="10" a="1"/>
  <c r="D366" i="10" l="1"/>
  <c r="E366" i="10" s="1"/>
  <c r="C368" i="10"/>
  <c r="F83" i="4"/>
  <c r="C85" i="4"/>
  <c r="E84" i="4"/>
  <c r="D84" i="4"/>
  <c r="C81" i="1"/>
  <c r="E81" i="1" s="1"/>
  <c r="F81" i="1" s="1"/>
  <c r="D80" i="1"/>
  <c r="C369" i="10" a="1"/>
  <c r="D367" i="10" a="1"/>
  <c r="D367" i="10" l="1"/>
  <c r="E367" i="10" s="1"/>
  <c r="C369" i="10"/>
  <c r="F84" i="4"/>
  <c r="E85" i="4"/>
  <c r="D85" i="4"/>
  <c r="C86" i="4"/>
  <c r="D86" i="4" s="1"/>
  <c r="C82" i="1"/>
  <c r="E82" i="1" s="1"/>
  <c r="F82" i="1" s="1"/>
  <c r="D81" i="1"/>
  <c r="C370" i="10" a="1"/>
  <c r="D368" i="10" a="1"/>
  <c r="D368" i="10" l="1"/>
  <c r="E368" i="10" s="1"/>
  <c r="C370" i="10"/>
  <c r="F85" i="4"/>
  <c r="C87" i="4"/>
  <c r="D87" i="4" s="1"/>
  <c r="E86" i="4"/>
  <c r="C83" i="1"/>
  <c r="E83" i="1" s="1"/>
  <c r="F83" i="1" s="1"/>
  <c r="D82" i="1"/>
  <c r="C371" i="10" a="1"/>
  <c r="D369" i="10" a="1"/>
  <c r="D369" i="10" l="1"/>
  <c r="E369" i="10" s="1"/>
  <c r="C371" i="10"/>
  <c r="F86" i="4"/>
  <c r="E87" i="4"/>
  <c r="C88" i="4"/>
  <c r="C84" i="1"/>
  <c r="E84" i="1" s="1"/>
  <c r="F84" i="1" s="1"/>
  <c r="D83" i="1"/>
  <c r="D370" i="10" a="1"/>
  <c r="C372" i="10" a="1"/>
  <c r="C372" i="10" l="1"/>
  <c r="D370" i="10"/>
  <c r="E370" i="10" s="1"/>
  <c r="F87" i="4"/>
  <c r="C89" i="4"/>
  <c r="D89" i="4" s="1"/>
  <c r="E88" i="4"/>
  <c r="D88" i="4"/>
  <c r="C85" i="1"/>
  <c r="E85" i="1" s="1"/>
  <c r="F85" i="1" s="1"/>
  <c r="D84" i="1"/>
  <c r="C373" i="10" a="1"/>
  <c r="D371" i="10" a="1"/>
  <c r="D371" i="10" l="1"/>
  <c r="E371" i="10" s="1"/>
  <c r="C373" i="10"/>
  <c r="F88" i="4"/>
  <c r="C90" i="4"/>
  <c r="D90" i="4" s="1"/>
  <c r="E89" i="4"/>
  <c r="C86" i="1"/>
  <c r="E86" i="1" s="1"/>
  <c r="F86" i="1" s="1"/>
  <c r="D85" i="1"/>
  <c r="C374" i="10" a="1"/>
  <c r="D372" i="10" a="1"/>
  <c r="D372" i="10" l="1"/>
  <c r="E372" i="10" s="1"/>
  <c r="C374" i="10"/>
  <c r="F89" i="4"/>
  <c r="E90" i="4"/>
  <c r="C91" i="4"/>
  <c r="C87" i="1"/>
  <c r="E87" i="1" s="1"/>
  <c r="F87" i="1" s="1"/>
  <c r="D86" i="1"/>
  <c r="D373" i="10" a="1"/>
  <c r="C375" i="10" a="1"/>
  <c r="C375" i="10" l="1"/>
  <c r="D373" i="10"/>
  <c r="E373" i="10" s="1"/>
  <c r="F90" i="4"/>
  <c r="E91" i="4"/>
  <c r="C92" i="4"/>
  <c r="D91" i="4"/>
  <c r="D87" i="1"/>
  <c r="C88" i="1"/>
  <c r="E88" i="1" s="1"/>
  <c r="F88" i="1" s="1"/>
  <c r="D374" i="10" a="1"/>
  <c r="C376" i="10" a="1"/>
  <c r="C376" i="10" l="1"/>
  <c r="D374" i="10"/>
  <c r="E374" i="10" s="1"/>
  <c r="F91" i="4"/>
  <c r="C93" i="4"/>
  <c r="E92" i="4"/>
  <c r="D93" i="4"/>
  <c r="D92" i="4"/>
  <c r="C89" i="1"/>
  <c r="E89" i="1" s="1"/>
  <c r="F89" i="1" s="1"/>
  <c r="D88" i="1"/>
  <c r="C377" i="10" a="1"/>
  <c r="D375" i="10" a="1"/>
  <c r="D375" i="10" l="1"/>
  <c r="E375" i="10" s="1"/>
  <c r="C377" i="10"/>
  <c r="F92" i="4"/>
  <c r="C94" i="4"/>
  <c r="D94" i="4" s="1"/>
  <c r="E93" i="4"/>
  <c r="C90" i="1"/>
  <c r="D89" i="1"/>
  <c r="C378" i="10" a="1"/>
  <c r="D376" i="10" a="1"/>
  <c r="D376" i="10" l="1"/>
  <c r="E376" i="10" s="1"/>
  <c r="C378" i="10"/>
  <c r="F93" i="4"/>
  <c r="E94" i="4"/>
  <c r="C95" i="4"/>
  <c r="D90" i="1"/>
  <c r="E90" i="1"/>
  <c r="F90" i="1" s="1"/>
  <c r="C13" i="2"/>
  <c r="C91" i="1"/>
  <c r="E91" i="1" s="1"/>
  <c r="F91" i="1" s="1"/>
  <c r="D377" i="10" a="1"/>
  <c r="C379" i="10" a="1"/>
  <c r="C379" i="10" l="1"/>
  <c r="D377" i="10"/>
  <c r="E377" i="10" s="1"/>
  <c r="F94" i="4"/>
  <c r="E95" i="4"/>
  <c r="C96" i="4"/>
  <c r="D95" i="4"/>
  <c r="E13" i="2"/>
  <c r="F13" i="2" s="1"/>
  <c r="C14" i="2"/>
  <c r="C92" i="1"/>
  <c r="E92" i="1" s="1"/>
  <c r="D91" i="1"/>
  <c r="D378" i="10" a="1"/>
  <c r="C380" i="10" a="1"/>
  <c r="D11" i="7" a="1"/>
  <c r="D89" i="6" a="1"/>
  <c r="C380" i="10" l="1"/>
  <c r="D378" i="10"/>
  <c r="E378" i="10" s="1"/>
  <c r="F95" i="4"/>
  <c r="D89" i="6"/>
  <c r="E89" i="6" s="1"/>
  <c r="D11" i="7"/>
  <c r="E11" i="7" s="1"/>
  <c r="F92" i="1"/>
  <c r="C97" i="4"/>
  <c r="D97" i="4" s="1"/>
  <c r="E96" i="4"/>
  <c r="D96" i="4"/>
  <c r="C15" i="2"/>
  <c r="D15" i="2" s="1"/>
  <c r="E14" i="2"/>
  <c r="F14" i="2" s="1"/>
  <c r="D14" i="2"/>
  <c r="D92" i="1"/>
  <c r="D379" i="10" a="1"/>
  <c r="C381" i="10" a="1"/>
  <c r="C381" i="10" l="1"/>
  <c r="D379" i="10"/>
  <c r="E379" i="10" s="1"/>
  <c r="F96" i="4"/>
  <c r="E97" i="4"/>
  <c r="C98" i="4"/>
  <c r="E15" i="2"/>
  <c r="F15" i="2" s="1"/>
  <c r="C16" i="2"/>
  <c r="D380" i="10" a="1"/>
  <c r="C382" i="10" a="1"/>
  <c r="C382" i="10" l="1"/>
  <c r="D380" i="10"/>
  <c r="E380" i="10" s="1"/>
  <c r="F97" i="4"/>
  <c r="E98" i="4"/>
  <c r="C99" i="4"/>
  <c r="D98" i="4"/>
  <c r="C17" i="2"/>
  <c r="D17" i="2" s="1"/>
  <c r="E16" i="2"/>
  <c r="F16" i="2" s="1"/>
  <c r="D16" i="2"/>
  <c r="C383" i="10" a="1"/>
  <c r="D381" i="10" a="1"/>
  <c r="D381" i="10" l="1"/>
  <c r="E381" i="10" s="1"/>
  <c r="C383" i="10"/>
  <c r="F98" i="4"/>
  <c r="C100" i="4"/>
  <c r="E99" i="4"/>
  <c r="D100" i="4"/>
  <c r="D99" i="4"/>
  <c r="E17" i="2"/>
  <c r="F17" i="2" s="1"/>
  <c r="C18" i="2"/>
  <c r="C384" i="10" a="1"/>
  <c r="D382" i="10" a="1"/>
  <c r="D382" i="10" l="1"/>
  <c r="E382" i="10" s="1"/>
  <c r="C384" i="10"/>
  <c r="F99" i="4"/>
  <c r="E100" i="4"/>
  <c r="C101" i="4"/>
  <c r="C19" i="2"/>
  <c r="E18" i="2"/>
  <c r="F18" i="2" s="1"/>
  <c r="D19" i="2"/>
  <c r="D18" i="2"/>
  <c r="D383" i="10" a="1"/>
  <c r="C385" i="10" a="1"/>
  <c r="C385" i="10" l="1"/>
  <c r="D383" i="10"/>
  <c r="E383" i="10" s="1"/>
  <c r="F100" i="4"/>
  <c r="E101" i="4"/>
  <c r="C102" i="4"/>
  <c r="D101" i="4"/>
  <c r="E19" i="2"/>
  <c r="F19" i="2" s="1"/>
  <c r="C20" i="2"/>
  <c r="D384" i="10" a="1"/>
  <c r="C386" i="10" a="1"/>
  <c r="C386" i="10" l="1"/>
  <c r="D384" i="10"/>
  <c r="E384" i="10" s="1"/>
  <c r="F101" i="4"/>
  <c r="C103" i="4"/>
  <c r="E102" i="4"/>
  <c r="D103" i="4"/>
  <c r="D102" i="4"/>
  <c r="E20" i="2"/>
  <c r="F20" i="2" s="1"/>
  <c r="C21" i="2"/>
  <c r="D20" i="2"/>
  <c r="C387" i="10" a="1"/>
  <c r="D385" i="10" a="1"/>
  <c r="D385" i="10" l="1"/>
  <c r="E385" i="10" s="1"/>
  <c r="C387" i="10"/>
  <c r="F102" i="4"/>
  <c r="E103" i="4"/>
  <c r="C104" i="4"/>
  <c r="C22" i="2"/>
  <c r="D22" i="2" s="1"/>
  <c r="E21" i="2"/>
  <c r="F21" i="2" s="1"/>
  <c r="D21" i="2"/>
  <c r="D386" i="10" a="1"/>
  <c r="C388" i="10" a="1"/>
  <c r="C388" i="10" l="1"/>
  <c r="D386" i="10"/>
  <c r="E386" i="10" s="1"/>
  <c r="F103" i="4"/>
  <c r="C105" i="4"/>
  <c r="D105" i="4"/>
  <c r="E104" i="4"/>
  <c r="D104" i="4"/>
  <c r="E22" i="2"/>
  <c r="F22" i="2" s="1"/>
  <c r="C23" i="2"/>
  <c r="C389" i="10" a="1"/>
  <c r="D387" i="10" a="1"/>
  <c r="D387" i="10" l="1"/>
  <c r="E387" i="10" s="1"/>
  <c r="C389" i="10"/>
  <c r="F104" i="4"/>
  <c r="E105" i="4"/>
  <c r="C106" i="4"/>
  <c r="D106" i="4" s="1"/>
  <c r="E23" i="2"/>
  <c r="F23" i="2" s="1"/>
  <c r="C24" i="2"/>
  <c r="D23" i="2"/>
  <c r="D388" i="10" a="1"/>
  <c r="C390" i="10" a="1"/>
  <c r="C390" i="10" l="1"/>
  <c r="D388" i="10"/>
  <c r="E388" i="10" s="1"/>
  <c r="F105" i="4"/>
  <c r="C107" i="4"/>
  <c r="D107" i="4" s="1"/>
  <c r="E106" i="4"/>
  <c r="E24" i="2"/>
  <c r="F24" i="2" s="1"/>
  <c r="C25" i="2"/>
  <c r="D24" i="2"/>
  <c r="C391" i="10" a="1"/>
  <c r="D389" i="10" a="1"/>
  <c r="D389" i="10" l="1"/>
  <c r="E389" i="10" s="1"/>
  <c r="C391" i="10"/>
  <c r="F106" i="4"/>
  <c r="E107" i="4"/>
  <c r="C108" i="4"/>
  <c r="C26" i="2"/>
  <c r="E25" i="2"/>
  <c r="F25" i="2" s="1"/>
  <c r="D26" i="2"/>
  <c r="D25" i="2"/>
  <c r="D390" i="10" a="1"/>
  <c r="C392" i="10" a="1"/>
  <c r="C392" i="10" l="1"/>
  <c r="D390" i="10"/>
  <c r="E390" i="10" s="1"/>
  <c r="F107" i="4"/>
  <c r="E108" i="4"/>
  <c r="C109" i="4"/>
  <c r="D108" i="4"/>
  <c r="E26" i="2"/>
  <c r="F26" i="2" s="1"/>
  <c r="C27" i="2"/>
  <c r="D391" i="10" a="1"/>
  <c r="C393" i="10" a="1"/>
  <c r="C393" i="10" l="1"/>
  <c r="D391" i="10"/>
  <c r="E391" i="10" s="1"/>
  <c r="F108" i="4"/>
  <c r="C110" i="4"/>
  <c r="E109" i="4"/>
  <c r="D110" i="4"/>
  <c r="D109" i="4"/>
  <c r="E27" i="2"/>
  <c r="F27" i="2" s="1"/>
  <c r="C28" i="2"/>
  <c r="D27" i="2"/>
  <c r="C394" i="10" a="1"/>
  <c r="D392" i="10" a="1"/>
  <c r="D392" i="10" l="1"/>
  <c r="E392" i="10" s="1"/>
  <c r="C394" i="10"/>
  <c r="F109" i="4"/>
  <c r="E110" i="4"/>
  <c r="C111" i="4"/>
  <c r="E28" i="2"/>
  <c r="F28" i="2" s="1"/>
  <c r="C29" i="2"/>
  <c r="D29" i="2" s="1"/>
  <c r="D28" i="2"/>
  <c r="D393" i="10" a="1"/>
  <c r="C395" i="10" a="1"/>
  <c r="C395" i="10" l="1"/>
  <c r="D393" i="10"/>
  <c r="E393" i="10" s="1"/>
  <c r="F110" i="4"/>
  <c r="E111" i="4"/>
  <c r="C112" i="4"/>
  <c r="D111" i="4"/>
  <c r="C30" i="2"/>
  <c r="D30" i="2" s="1"/>
  <c r="E29" i="2"/>
  <c r="F29" i="2" s="1"/>
  <c r="D394" i="10" a="1"/>
  <c r="C396" i="10" a="1"/>
  <c r="C396" i="10" l="1"/>
  <c r="D394" i="10"/>
  <c r="E394" i="10" s="1"/>
  <c r="F111" i="4"/>
  <c r="C113" i="4"/>
  <c r="E112" i="4"/>
  <c r="D113" i="4"/>
  <c r="D112" i="4"/>
  <c r="E30" i="2"/>
  <c r="F30" i="2" s="1"/>
  <c r="C31" i="2"/>
  <c r="C397" i="10" a="1"/>
  <c r="D395" i="10" a="1"/>
  <c r="D395" i="10" l="1"/>
  <c r="E395" i="10" s="1"/>
  <c r="C397" i="10"/>
  <c r="F112" i="4"/>
  <c r="E113" i="4"/>
  <c r="C114" i="4"/>
  <c r="E31" i="2"/>
  <c r="F31" i="2" s="1"/>
  <c r="C32" i="2"/>
  <c r="D31" i="2"/>
  <c r="D396" i="10" a="1"/>
  <c r="C398" i="10" a="1"/>
  <c r="C398" i="10" l="1"/>
  <c r="D396" i="10"/>
  <c r="E396" i="10" s="1"/>
  <c r="F113" i="4"/>
  <c r="E114" i="4"/>
  <c r="C115" i="4"/>
  <c r="D114" i="4"/>
  <c r="E32" i="2"/>
  <c r="F32" i="2" s="1"/>
  <c r="C33" i="2"/>
  <c r="D32" i="2"/>
  <c r="D397" i="10" a="1"/>
  <c r="C399" i="10" a="1"/>
  <c r="C399" i="10" l="1"/>
  <c r="D397" i="10"/>
  <c r="E397" i="10" s="1"/>
  <c r="F114" i="4"/>
  <c r="E115" i="4"/>
  <c r="C116" i="4"/>
  <c r="D115" i="4"/>
  <c r="C34" i="2"/>
  <c r="E33" i="2"/>
  <c r="F33" i="2" s="1"/>
  <c r="D33" i="2"/>
  <c r="D398" i="10" a="1"/>
  <c r="C400" i="10" a="1"/>
  <c r="C400" i="10" l="1"/>
  <c r="D398" i="10"/>
  <c r="E398" i="10" s="1"/>
  <c r="F115" i="4"/>
  <c r="E116" i="4"/>
  <c r="D116" i="4"/>
  <c r="C117" i="4"/>
  <c r="E34" i="2"/>
  <c r="F34" i="2" s="1"/>
  <c r="D34" i="2"/>
  <c r="C35" i="2"/>
  <c r="D399" i="10" a="1"/>
  <c r="C401" i="10" a="1"/>
  <c r="C401" i="10" l="1"/>
  <c r="D399" i="10"/>
  <c r="E399" i="10" s="1"/>
  <c r="F116" i="4"/>
  <c r="E117" i="4"/>
  <c r="C118" i="4"/>
  <c r="D117" i="4"/>
  <c r="E35" i="2"/>
  <c r="F35" i="2" s="1"/>
  <c r="C36" i="2"/>
  <c r="D35" i="2"/>
  <c r="D400" i="10" a="1"/>
  <c r="C402" i="10" a="1"/>
  <c r="C402" i="10" l="1"/>
  <c r="D400" i="10"/>
  <c r="E400" i="10" s="1"/>
  <c r="F117" i="4"/>
  <c r="E118" i="4"/>
  <c r="C119" i="4"/>
  <c r="D119" i="4" s="1"/>
  <c r="D118" i="4"/>
  <c r="C37" i="2"/>
  <c r="E36" i="2"/>
  <c r="F36" i="2" s="1"/>
  <c r="D37" i="2"/>
  <c r="D36" i="2"/>
  <c r="D401" i="10" a="1"/>
  <c r="C403" i="10" a="1"/>
  <c r="C403" i="10" l="1"/>
  <c r="D401" i="10"/>
  <c r="E401" i="10" s="1"/>
  <c r="F118" i="4"/>
  <c r="C120" i="4"/>
  <c r="D120" i="4" s="1"/>
  <c r="E119" i="4"/>
  <c r="E37" i="2"/>
  <c r="F37" i="2" s="1"/>
  <c r="C38" i="2"/>
  <c r="C404" i="10" a="1"/>
  <c r="D402" i="10" a="1"/>
  <c r="D402" i="10" l="1"/>
  <c r="E402" i="10" s="1"/>
  <c r="C404" i="10"/>
  <c r="F119" i="4"/>
  <c r="E120" i="4"/>
  <c r="C121" i="4"/>
  <c r="E38" i="2"/>
  <c r="F38" i="2" s="1"/>
  <c r="C39" i="2"/>
  <c r="D38" i="2"/>
  <c r="D403" i="10" a="1"/>
  <c r="C405" i="10" a="1"/>
  <c r="C405" i="10" l="1"/>
  <c r="D403" i="10"/>
  <c r="E403" i="10" s="1"/>
  <c r="F120" i="4"/>
  <c r="E121" i="4"/>
  <c r="C122" i="4"/>
  <c r="D121" i="4"/>
  <c r="C40" i="2"/>
  <c r="D40" i="2"/>
  <c r="E39" i="2"/>
  <c r="F39" i="2" s="1"/>
  <c r="D39" i="2"/>
  <c r="D404" i="10" a="1"/>
  <c r="C406" i="10" a="1"/>
  <c r="C406" i="10" l="1"/>
  <c r="D404" i="10"/>
  <c r="E404" i="10" s="1"/>
  <c r="F121" i="4"/>
  <c r="C123" i="4"/>
  <c r="E122" i="4"/>
  <c r="D123" i="4"/>
  <c r="D122" i="4"/>
  <c r="E40" i="2"/>
  <c r="F40" i="2" s="1"/>
  <c r="C41" i="2"/>
  <c r="C407" i="10" a="1"/>
  <c r="D405" i="10" a="1"/>
  <c r="D405" i="10" l="1"/>
  <c r="E405" i="10" s="1"/>
  <c r="C407" i="10"/>
  <c r="F122" i="4"/>
  <c r="E123" i="4"/>
  <c r="C124" i="4"/>
  <c r="C42" i="2"/>
  <c r="E41" i="2"/>
  <c r="F41" i="2" s="1"/>
  <c r="D41" i="2"/>
  <c r="D406" i="10" a="1"/>
  <c r="C408" i="10" a="1"/>
  <c r="C408" i="10" l="1"/>
  <c r="D406" i="10"/>
  <c r="E406" i="10" s="1"/>
  <c r="F123" i="4"/>
  <c r="E124" i="4"/>
  <c r="C125" i="4"/>
  <c r="D124" i="4"/>
  <c r="E42" i="2"/>
  <c r="F42" i="2" s="1"/>
  <c r="D42" i="2"/>
  <c r="C43" i="2"/>
  <c r="C409" i="10" a="1"/>
  <c r="D407" i="10" a="1"/>
  <c r="D407" i="10" l="1"/>
  <c r="E407" i="10" s="1"/>
  <c r="C409" i="10"/>
  <c r="F124" i="4"/>
  <c r="E125" i="4"/>
  <c r="C126" i="4"/>
  <c r="D125" i="4"/>
  <c r="E43" i="2"/>
  <c r="F43" i="2" s="1"/>
  <c r="C44" i="2"/>
  <c r="D43" i="2"/>
  <c r="D408" i="10" a="1"/>
  <c r="C410" i="10" a="1"/>
  <c r="C410" i="10" l="1"/>
  <c r="D408" i="10"/>
  <c r="E408" i="10" s="1"/>
  <c r="F125" i="4"/>
  <c r="C127" i="4"/>
  <c r="E126" i="4"/>
  <c r="D127" i="4"/>
  <c r="D126" i="4"/>
  <c r="E44" i="2"/>
  <c r="F44" i="2" s="1"/>
  <c r="C45" i="2"/>
  <c r="D44" i="2"/>
  <c r="C411" i="10" a="1"/>
  <c r="D409" i="10" a="1"/>
  <c r="D409" i="10" l="1"/>
  <c r="E409" i="10" s="1"/>
  <c r="C411" i="10"/>
  <c r="F126" i="4"/>
  <c r="E127" i="4"/>
  <c r="C128" i="4"/>
  <c r="E45" i="2"/>
  <c r="F45" i="2" s="1"/>
  <c r="C46" i="2"/>
  <c r="D45" i="2"/>
  <c r="C412" i="10" a="1"/>
  <c r="D410" i="10" a="1"/>
  <c r="D410" i="10" l="1"/>
  <c r="E410" i="10" s="1"/>
  <c r="C412" i="10"/>
  <c r="F127" i="4"/>
  <c r="E128" i="4"/>
  <c r="C129" i="4"/>
  <c r="D128" i="4"/>
  <c r="E46" i="2"/>
  <c r="F46" i="2" s="1"/>
  <c r="C47" i="2"/>
  <c r="D46" i="2"/>
  <c r="D411" i="10" a="1"/>
  <c r="C413" i="10" a="1"/>
  <c r="C413" i="10" l="1"/>
  <c r="D411" i="10"/>
  <c r="E411" i="10" s="1"/>
  <c r="F128" i="4"/>
  <c r="C130" i="4"/>
  <c r="D130" i="4" s="1"/>
  <c r="E129" i="4"/>
  <c r="D129" i="4"/>
  <c r="C48" i="2"/>
  <c r="E47" i="2"/>
  <c r="F47" i="2" s="1"/>
  <c r="D47" i="2"/>
  <c r="C414" i="10" a="1"/>
  <c r="D412" i="10" a="1"/>
  <c r="D412" i="10" l="1"/>
  <c r="E412" i="10" s="1"/>
  <c r="C414" i="10"/>
  <c r="F129" i="4"/>
  <c r="E130" i="4"/>
  <c r="C131" i="4"/>
  <c r="E48" i="2"/>
  <c r="F48" i="2" s="1"/>
  <c r="D48" i="2"/>
  <c r="C49" i="2"/>
  <c r="D413" i="10" a="1"/>
  <c r="C415" i="10" a="1"/>
  <c r="C415" i="10" l="1"/>
  <c r="D413" i="10"/>
  <c r="E413" i="10" s="1"/>
  <c r="F130" i="4"/>
  <c r="E131" i="4"/>
  <c r="C132" i="4"/>
  <c r="D131" i="4"/>
  <c r="E49" i="2"/>
  <c r="F49" i="2" s="1"/>
  <c r="C50" i="2"/>
  <c r="D49" i="2"/>
  <c r="D414" i="10" a="1"/>
  <c r="C416" i="10" a="1"/>
  <c r="C416" i="10" l="1"/>
  <c r="D414" i="10"/>
  <c r="E414" i="10" s="1"/>
  <c r="F131" i="4"/>
  <c r="C133" i="4"/>
  <c r="D133" i="4" s="1"/>
  <c r="E132" i="4"/>
  <c r="D132" i="4"/>
  <c r="E50" i="2"/>
  <c r="F50" i="2" s="1"/>
  <c r="C51" i="2"/>
  <c r="D50" i="2"/>
  <c r="C417" i="10" a="1"/>
  <c r="D415" i="10" a="1"/>
  <c r="D415" i="10" l="1"/>
  <c r="E415" i="10" s="1"/>
  <c r="C417" i="10"/>
  <c r="F132" i="4"/>
  <c r="C134" i="4"/>
  <c r="E133" i="4"/>
  <c r="C52" i="2"/>
  <c r="E51" i="2"/>
  <c r="F51" i="2" s="1"/>
  <c r="D51" i="2"/>
  <c r="C418" i="10" a="1"/>
  <c r="D416" i="10" a="1"/>
  <c r="D416" i="10" l="1"/>
  <c r="E416" i="10" s="1"/>
  <c r="C418" i="10"/>
  <c r="F133" i="4"/>
  <c r="E134" i="4"/>
  <c r="D134" i="4"/>
  <c r="C135" i="4"/>
  <c r="E52" i="2"/>
  <c r="F52" i="2" s="1"/>
  <c r="D52" i="2"/>
  <c r="C53" i="2"/>
  <c r="D417" i="10" a="1"/>
  <c r="C419" i="10" a="1"/>
  <c r="C419" i="10" l="1"/>
  <c r="D417" i="10"/>
  <c r="E417" i="10" s="1"/>
  <c r="F134" i="4"/>
  <c r="E135" i="4"/>
  <c r="C136" i="4"/>
  <c r="D135" i="4"/>
  <c r="E53" i="2"/>
  <c r="F53" i="2" s="1"/>
  <c r="C54" i="2"/>
  <c r="D53" i="2"/>
  <c r="D418" i="10" a="1"/>
  <c r="C420" i="10" a="1"/>
  <c r="C420" i="10" l="1"/>
  <c r="D418" i="10"/>
  <c r="E418" i="10" s="1"/>
  <c r="F135" i="4"/>
  <c r="C137" i="4"/>
  <c r="E136" i="4"/>
  <c r="D136" i="4"/>
  <c r="E54" i="2"/>
  <c r="F54" i="2" s="1"/>
  <c r="C55" i="2"/>
  <c r="D54" i="2"/>
  <c r="C421" i="10" a="1"/>
  <c r="D419" i="10" a="1"/>
  <c r="D419" i="10" l="1"/>
  <c r="E419" i="10" s="1"/>
  <c r="C421" i="10"/>
  <c r="F136" i="4"/>
  <c r="E137" i="4"/>
  <c r="D137" i="4"/>
  <c r="C138" i="4"/>
  <c r="D138" i="4" s="1"/>
  <c r="E55" i="2"/>
  <c r="F55" i="2" s="1"/>
  <c r="C56" i="2"/>
  <c r="D55" i="2"/>
  <c r="D420" i="10" a="1"/>
  <c r="C422" i="10" a="1"/>
  <c r="C422" i="10" l="1"/>
  <c r="D420" i="10"/>
  <c r="E420" i="10" s="1"/>
  <c r="F137" i="4"/>
  <c r="C139" i="4"/>
  <c r="D139" i="4"/>
  <c r="E138" i="4"/>
  <c r="C57" i="2"/>
  <c r="E56" i="2"/>
  <c r="F56" i="2" s="1"/>
  <c r="D57" i="2"/>
  <c r="D56" i="2"/>
  <c r="D421" i="10" a="1"/>
  <c r="C423" i="10" a="1"/>
  <c r="C423" i="10" l="1"/>
  <c r="D421" i="10"/>
  <c r="E421" i="10" s="1"/>
  <c r="F138" i="4"/>
  <c r="C140" i="4"/>
  <c r="E139" i="4"/>
  <c r="E57" i="2"/>
  <c r="F57" i="2" s="1"/>
  <c r="C58" i="2"/>
  <c r="C424" i="10" a="1"/>
  <c r="D422" i="10" a="1"/>
  <c r="D422" i="10" l="1"/>
  <c r="E422" i="10" s="1"/>
  <c r="C424" i="10"/>
  <c r="F139" i="4"/>
  <c r="E140" i="4"/>
  <c r="D140" i="4"/>
  <c r="C141" i="4"/>
  <c r="E58" i="2"/>
  <c r="F58" i="2" s="1"/>
  <c r="C59" i="2"/>
  <c r="D58" i="2"/>
  <c r="D423" i="10" a="1"/>
  <c r="C425" i="10" a="1"/>
  <c r="C425" i="10" l="1"/>
  <c r="D423" i="10"/>
  <c r="E423" i="10" s="1"/>
  <c r="F140" i="4"/>
  <c r="E141" i="4"/>
  <c r="C142" i="4"/>
  <c r="D141" i="4"/>
  <c r="C60" i="2"/>
  <c r="D60" i="2" s="1"/>
  <c r="E59" i="2"/>
  <c r="F59" i="2" s="1"/>
  <c r="D59" i="2"/>
  <c r="D424" i="10" a="1"/>
  <c r="C426" i="10" a="1"/>
  <c r="C426" i="10" l="1"/>
  <c r="D424" i="10"/>
  <c r="E424" i="10" s="1"/>
  <c r="F141" i="4"/>
  <c r="C143" i="4"/>
  <c r="D143" i="4" s="1"/>
  <c r="E142" i="4"/>
  <c r="D142" i="4"/>
  <c r="C61" i="2"/>
  <c r="D61" i="2" s="1"/>
  <c r="E60" i="2"/>
  <c r="F60" i="2" s="1"/>
  <c r="C427" i="10" a="1"/>
  <c r="D425" i="10" a="1"/>
  <c r="D425" i="10" l="1"/>
  <c r="E425" i="10" s="1"/>
  <c r="C427" i="10"/>
  <c r="F142" i="4"/>
  <c r="C144" i="4"/>
  <c r="D144" i="4" s="1"/>
  <c r="E143" i="4"/>
  <c r="E61" i="2"/>
  <c r="F61" i="2" s="1"/>
  <c r="C62" i="2"/>
  <c r="C428" i="10" a="1"/>
  <c r="D426" i="10" a="1"/>
  <c r="D426" i="10" l="1"/>
  <c r="E426" i="10" s="1"/>
  <c r="C428" i="10"/>
  <c r="F143" i="4"/>
  <c r="C145" i="4"/>
  <c r="E144" i="4"/>
  <c r="C63" i="2"/>
  <c r="D63" i="2" s="1"/>
  <c r="E62" i="2"/>
  <c r="F62" i="2" s="1"/>
  <c r="D62" i="2"/>
  <c r="C429" i="10" a="1"/>
  <c r="D427" i="10" a="1"/>
  <c r="D427" i="10" l="1"/>
  <c r="E427" i="10" s="1"/>
  <c r="C429" i="10"/>
  <c r="F144" i="4"/>
  <c r="E145" i="4"/>
  <c r="D145" i="4"/>
  <c r="C146" i="4"/>
  <c r="E63" i="2"/>
  <c r="F63" i="2" s="1"/>
  <c r="C64" i="2"/>
  <c r="D428" i="10" a="1"/>
  <c r="C430" i="10" a="1"/>
  <c r="C430" i="10" l="1"/>
  <c r="D428" i="10"/>
  <c r="E428" i="10" s="1"/>
  <c r="F145" i="4"/>
  <c r="E146" i="4"/>
  <c r="D146" i="4"/>
  <c r="C147" i="4"/>
  <c r="C65" i="2"/>
  <c r="D65" i="2" s="1"/>
  <c r="E64" i="2"/>
  <c r="F64" i="2" s="1"/>
  <c r="D64" i="2"/>
  <c r="D429" i="10" a="1"/>
  <c r="C431" i="10" a="1"/>
  <c r="C431" i="10" l="1"/>
  <c r="D429" i="10"/>
  <c r="E429" i="10" s="1"/>
  <c r="F146" i="4"/>
  <c r="E147" i="4"/>
  <c r="C148" i="4"/>
  <c r="D147" i="4"/>
  <c r="E65" i="2"/>
  <c r="F65" i="2" s="1"/>
  <c r="C66" i="2"/>
  <c r="D66" i="2" s="1"/>
  <c r="D430" i="10" a="1"/>
  <c r="C432" i="10" a="1"/>
  <c r="C432" i="10" l="1"/>
  <c r="D430" i="10"/>
  <c r="E430" i="10" s="1"/>
  <c r="F147" i="4"/>
  <c r="E148" i="4"/>
  <c r="C149" i="4"/>
  <c r="D148" i="4"/>
  <c r="C67" i="2"/>
  <c r="E66" i="2"/>
  <c r="F66" i="2" s="1"/>
  <c r="D67" i="2"/>
  <c r="D431" i="10" a="1"/>
  <c r="C433" i="10" a="1"/>
  <c r="C433" i="10" l="1"/>
  <c r="D431" i="10"/>
  <c r="E431" i="10" s="1"/>
  <c r="F148" i="4"/>
  <c r="E149" i="4"/>
  <c r="C150" i="4"/>
  <c r="D149" i="4"/>
  <c r="E67" i="2"/>
  <c r="F67" i="2" s="1"/>
  <c r="C68" i="2"/>
  <c r="D68" i="2" s="1"/>
  <c r="D432" i="10" a="1"/>
  <c r="C434" i="10" a="1"/>
  <c r="C434" i="10" l="1"/>
  <c r="D432" i="10"/>
  <c r="E432" i="10" s="1"/>
  <c r="F149" i="4"/>
  <c r="E150" i="4"/>
  <c r="C151" i="4"/>
  <c r="D150" i="4"/>
  <c r="E68" i="2"/>
  <c r="F68" i="2" s="1"/>
  <c r="C69" i="2"/>
  <c r="D433" i="10" a="1"/>
  <c r="C435" i="10" a="1"/>
  <c r="C435" i="10" l="1"/>
  <c r="D433" i="10"/>
  <c r="E433" i="10" s="1"/>
  <c r="F150" i="4"/>
  <c r="E151" i="4"/>
  <c r="C152" i="4"/>
  <c r="D151" i="4"/>
  <c r="E69" i="2"/>
  <c r="F69" i="2" s="1"/>
  <c r="C70" i="2"/>
  <c r="D70" i="2" s="1"/>
  <c r="D69" i="2"/>
  <c r="D434" i="10" a="1"/>
  <c r="C436" i="10" a="1"/>
  <c r="C436" i="10" l="1"/>
  <c r="D434" i="10"/>
  <c r="E434" i="10" s="1"/>
  <c r="F151" i="4"/>
  <c r="C153" i="4"/>
  <c r="D153" i="4" s="1"/>
  <c r="E152" i="4"/>
  <c r="D152" i="4"/>
  <c r="C71" i="2"/>
  <c r="D71" i="2"/>
  <c r="E70" i="2"/>
  <c r="F70" i="2" s="1"/>
  <c r="C437" i="10" a="1"/>
  <c r="D435" i="10" a="1"/>
  <c r="D435" i="10" l="1"/>
  <c r="E435" i="10" s="1"/>
  <c r="C437" i="10"/>
  <c r="F152" i="4"/>
  <c r="E153" i="4"/>
  <c r="C154" i="4"/>
  <c r="E71" i="2"/>
  <c r="F71" i="2" s="1"/>
  <c r="C72" i="2"/>
  <c r="C438" i="10" a="1"/>
  <c r="D436" i="10" a="1"/>
  <c r="D436" i="10" l="1"/>
  <c r="E436" i="10" s="1"/>
  <c r="C438" i="10"/>
  <c r="F153" i="4"/>
  <c r="C155" i="4"/>
  <c r="D155" i="4" s="1"/>
  <c r="E154" i="4"/>
  <c r="D154" i="4"/>
  <c r="E72" i="2"/>
  <c r="F72" i="2" s="1"/>
  <c r="C73" i="2"/>
  <c r="D72" i="2"/>
  <c r="C439" i="10" a="1"/>
  <c r="D437" i="10" a="1"/>
  <c r="D437" i="10" l="1"/>
  <c r="E437" i="10" s="1"/>
  <c r="C439" i="10"/>
  <c r="F154" i="4"/>
  <c r="E155" i="4"/>
  <c r="C156" i="4"/>
  <c r="E73" i="2"/>
  <c r="F73" i="2" s="1"/>
  <c r="C74" i="2"/>
  <c r="D73" i="2"/>
  <c r="D438" i="10" a="1"/>
  <c r="C440" i="10" a="1"/>
  <c r="C440" i="10" l="1"/>
  <c r="D438" i="10"/>
  <c r="E438" i="10" s="1"/>
  <c r="F155" i="4"/>
  <c r="C157" i="4"/>
  <c r="D157" i="4" s="1"/>
  <c r="E156" i="4"/>
  <c r="D156" i="4"/>
  <c r="C75" i="2"/>
  <c r="D75" i="2" s="1"/>
  <c r="E74" i="2"/>
  <c r="F74" i="2" s="1"/>
  <c r="D74" i="2"/>
  <c r="C441" i="10" a="1"/>
  <c r="D439" i="10" a="1"/>
  <c r="D439" i="10" l="1"/>
  <c r="E439" i="10" s="1"/>
  <c r="C441" i="10"/>
  <c r="F156" i="4"/>
  <c r="E157" i="4"/>
  <c r="C158" i="4"/>
  <c r="E75" i="2"/>
  <c r="F75" i="2" s="1"/>
  <c r="C76" i="2"/>
  <c r="D76" i="2" s="1"/>
  <c r="D440" i="10" a="1"/>
  <c r="C442" i="10" a="1"/>
  <c r="C442" i="10" l="1"/>
  <c r="D440" i="10"/>
  <c r="E440" i="10" s="1"/>
  <c r="F157" i="4"/>
  <c r="E158" i="4"/>
  <c r="D158" i="4"/>
  <c r="C159" i="4"/>
  <c r="D159" i="4" s="1"/>
  <c r="C77" i="2"/>
  <c r="E76" i="2"/>
  <c r="F76" i="2" s="1"/>
  <c r="D77" i="2"/>
  <c r="D441" i="10" a="1"/>
  <c r="C443" i="10" a="1"/>
  <c r="C443" i="10" l="1"/>
  <c r="D441" i="10"/>
  <c r="E441" i="10" s="1"/>
  <c r="F158" i="4"/>
  <c r="C160" i="4"/>
  <c r="E159" i="4"/>
  <c r="D160" i="4"/>
  <c r="C78" i="2"/>
  <c r="D78" i="2" s="1"/>
  <c r="E77" i="2"/>
  <c r="F77" i="2" s="1"/>
  <c r="C444" i="10" a="1"/>
  <c r="D442" i="10" a="1"/>
  <c r="D442" i="10" l="1"/>
  <c r="E442" i="10" s="1"/>
  <c r="C444" i="10"/>
  <c r="F159" i="4"/>
  <c r="E160" i="4"/>
  <c r="C161" i="4"/>
  <c r="E78" i="2"/>
  <c r="F78" i="2" s="1"/>
  <c r="C79" i="2"/>
  <c r="D79" i="2" s="1"/>
  <c r="D443" i="10" a="1"/>
  <c r="C445" i="10" a="1"/>
  <c r="C445" i="10" l="1"/>
  <c r="D443" i="10"/>
  <c r="E443" i="10" s="1"/>
  <c r="F160" i="4"/>
  <c r="E161" i="4"/>
  <c r="C162" i="4"/>
  <c r="D161" i="4"/>
  <c r="C80" i="2"/>
  <c r="E79" i="2"/>
  <c r="F79" i="2" s="1"/>
  <c r="D80" i="2"/>
  <c r="D444" i="10" a="1"/>
  <c r="C446" i="10" a="1"/>
  <c r="C446" i="10" l="1"/>
  <c r="D444" i="10"/>
  <c r="E444" i="10" s="1"/>
  <c r="F161" i="4"/>
  <c r="E162" i="4"/>
  <c r="C163" i="4"/>
  <c r="D163" i="4" s="1"/>
  <c r="D162" i="4"/>
  <c r="E80" i="2"/>
  <c r="F80" i="2" s="1"/>
  <c r="C81" i="2"/>
  <c r="D445" i="10" a="1"/>
  <c r="C447" i="10" a="1"/>
  <c r="C447" i="10" l="1"/>
  <c r="D445" i="10"/>
  <c r="E445" i="10" s="1"/>
  <c r="F162" i="4"/>
  <c r="E163" i="4"/>
  <c r="C164" i="4"/>
  <c r="E81" i="2"/>
  <c r="F81" i="2" s="1"/>
  <c r="C82" i="2"/>
  <c r="D82" i="2" s="1"/>
  <c r="D81" i="2"/>
  <c r="D446" i="10" a="1"/>
  <c r="C448" i="10" a="1"/>
  <c r="C448" i="10" l="1"/>
  <c r="D446" i="10"/>
  <c r="E446" i="10" s="1"/>
  <c r="F163" i="4"/>
  <c r="E164" i="4"/>
  <c r="C165" i="4"/>
  <c r="D164" i="4"/>
  <c r="E82" i="2"/>
  <c r="F82" i="2" s="1"/>
  <c r="C83" i="2"/>
  <c r="D83" i="2" s="1"/>
  <c r="D447" i="10" a="1"/>
  <c r="C449" i="10" a="1"/>
  <c r="C449" i="10" l="1"/>
  <c r="D447" i="10"/>
  <c r="E447" i="10" s="1"/>
  <c r="F164" i="4"/>
  <c r="E165" i="4"/>
  <c r="C166" i="4"/>
  <c r="D166" i="4" s="1"/>
  <c r="D165" i="4"/>
  <c r="E83" i="2"/>
  <c r="F83" i="2" s="1"/>
  <c r="C85" i="2"/>
  <c r="E85" i="2" s="1"/>
  <c r="F85" i="2" s="1"/>
  <c r="C84" i="2"/>
  <c r="D448" i="10" a="1"/>
  <c r="C450" i="10" a="1"/>
  <c r="C450" i="10" l="1"/>
  <c r="D448" i="10"/>
  <c r="E448" i="10" s="1"/>
  <c r="F165" i="4"/>
  <c r="C167" i="4"/>
  <c r="D167" i="4" s="1"/>
  <c r="E166" i="4"/>
  <c r="D85" i="2"/>
  <c r="E84" i="2"/>
  <c r="F84" i="2" s="1"/>
  <c r="D84" i="2"/>
  <c r="C451" i="10" a="1"/>
  <c r="D449" i="10" a="1"/>
  <c r="D449" i="10" l="1"/>
  <c r="E449" i="10" s="1"/>
  <c r="C451" i="10"/>
  <c r="F166" i="4"/>
  <c r="E167" i="4"/>
  <c r="C168" i="4"/>
  <c r="D168" i="4" s="1"/>
  <c r="D450" i="10" a="1"/>
  <c r="C452" i="10" a="1"/>
  <c r="C452" i="10" l="1"/>
  <c r="D450" i="10"/>
  <c r="E450" i="10" s="1"/>
  <c r="F167" i="4"/>
  <c r="C169" i="4"/>
  <c r="D169" i="4" s="1"/>
  <c r="E168" i="4"/>
  <c r="C453" i="10" a="1"/>
  <c r="D451" i="10" a="1"/>
  <c r="D451" i="10" l="1"/>
  <c r="E451" i="10" s="1"/>
  <c r="C453" i="10"/>
  <c r="F168" i="4"/>
  <c r="C170" i="4"/>
  <c r="D170" i="4" s="1"/>
  <c r="E169" i="4"/>
  <c r="C454" i="10" a="1"/>
  <c r="D452" i="10" a="1"/>
  <c r="D452" i="10" l="1"/>
  <c r="E452" i="10" s="1"/>
  <c r="C454" i="10"/>
  <c r="F169" i="4"/>
  <c r="E170" i="4"/>
  <c r="C171" i="4"/>
  <c r="D453" i="10" a="1"/>
  <c r="C455" i="10" a="1"/>
  <c r="C455" i="10" l="1"/>
  <c r="D453" i="10"/>
  <c r="E453" i="10" s="1"/>
  <c r="F170" i="4"/>
  <c r="E171" i="4"/>
  <c r="C172" i="4"/>
  <c r="D171" i="4"/>
  <c r="D454" i="10" a="1"/>
  <c r="C456" i="10" a="1"/>
  <c r="C456" i="10" l="1"/>
  <c r="D454" i="10"/>
  <c r="E454" i="10" s="1"/>
  <c r="F171" i="4"/>
  <c r="C173" i="4"/>
  <c r="D173" i="4" s="1"/>
  <c r="E172" i="4"/>
  <c r="D172" i="4"/>
  <c r="D455" i="10" a="1"/>
  <c r="C457" i="10" a="1"/>
  <c r="C457" i="10" l="1"/>
  <c r="D455" i="10"/>
  <c r="E455" i="10" s="1"/>
  <c r="F172" i="4"/>
  <c r="E173" i="4"/>
  <c r="C174" i="4"/>
  <c r="D174" i="4" s="1"/>
  <c r="D456" i="10" a="1"/>
  <c r="D456" i="10" l="1"/>
  <c r="E456" i="10" s="1"/>
  <c r="F173" i="4"/>
  <c r="E174" i="4"/>
  <c r="D457" i="10" a="1"/>
  <c r="D457" i="10" l="1"/>
  <c r="E457" i="10" s="1"/>
  <c r="F17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<sst xmlns="http://schemas.openxmlformats.org/spreadsheetml/2006/main" count="787" uniqueCount="45">
  <si>
    <t>Lat1</t>
  </si>
  <si>
    <t>Long1</t>
  </si>
  <si>
    <t>Lat2</t>
  </si>
  <si>
    <t>Long2</t>
  </si>
  <si>
    <t>Status Check</t>
  </si>
  <si>
    <t>ParameterA</t>
  </si>
  <si>
    <t>ParameterB</t>
  </si>
  <si>
    <t>ABS(MaxLat)</t>
  </si>
  <si>
    <t>IsMeridian</t>
  </si>
  <si>
    <t>More Longs</t>
  </si>
  <si>
    <t>Index</t>
  </si>
  <si>
    <t>Lat</t>
  </si>
  <si>
    <t>Delta</t>
  </si>
  <si>
    <t>LatRounded</t>
  </si>
  <si>
    <t>KML</t>
  </si>
  <si>
    <t>Description</t>
  </si>
  <si>
    <t>North-West of Hawaii (Eastern hemisphere)</t>
  </si>
  <si>
    <t>North-West of Hawaii (Western hemisphere)</t>
  </si>
  <si>
    <t>South of Fiji</t>
  </si>
  <si>
    <t>South of Hawaii</t>
  </si>
  <si>
    <t xml:space="preserve">    &lt;Placemark&gt;</t>
  </si>
  <si>
    <t xml:space="preserve">      &lt;Polygon&gt;</t>
  </si>
  <si>
    <t xml:space="preserve">        &lt;outerBoundaryIs&gt;</t>
  </si>
  <si>
    <t xml:space="preserve">          &lt;LinearRing&gt;</t>
  </si>
  <si>
    <t xml:space="preserve">            &lt;tessellate&gt;1&lt;/tessellate&gt;</t>
  </si>
  <si>
    <t xml:space="preserve">            &lt;coordinates&gt;</t>
  </si>
  <si>
    <t xml:space="preserve">            &lt;/coordinates&gt;</t>
  </si>
  <si>
    <t xml:space="preserve">          &lt;/LinearRing&gt;</t>
  </si>
  <si>
    <t xml:space="preserve">        &lt;/outerBoundaryIs&gt;</t>
  </si>
  <si>
    <t xml:space="preserve">      &lt;/Polygon&gt;</t>
  </si>
  <si>
    <t xml:space="preserve">    &lt;/Placemark&gt;</t>
  </si>
  <si>
    <t xml:space="preserve">      &lt;name&gt;Pacific Fiji&lt;/name&gt;</t>
  </si>
  <si>
    <t>Long</t>
  </si>
  <si>
    <t xml:space="preserve">        &lt;altitudeMode&gt;clampToGround&lt;/altitudeMode&gt;</t>
  </si>
  <si>
    <t>Worksheet</t>
  </si>
  <si>
    <t>SideL1</t>
  </si>
  <si>
    <t>SideL3</t>
  </si>
  <si>
    <t>SideL4</t>
  </si>
  <si>
    <t xml:space="preserve">      &lt;name&gt;Pacific Fiji MINIMAL&lt;/name&gt;</t>
  </si>
  <si>
    <t>North-East of Hawaii (Western hemisphere)</t>
  </si>
  <si>
    <t>South-East of Hawaii (Western hemisphere)</t>
  </si>
  <si>
    <t>SideR1</t>
  </si>
  <si>
    <t>SideR2</t>
  </si>
  <si>
    <t>SideR3</t>
  </si>
  <si>
    <t>SideR4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</si>
</sst>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??"/>
    <numFmt numFmtId="166" formatCode="#,##0.????"/>
    <numFmt numFmtId="167" formatCode="#,##0.???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165" fontId="0" fillId="0" borderId="0" xfId="0" applyNumberFormat="1" applyAlignment="1">
      <alignment horizontal="right" indent="1"/>
    </xf>
    <xf numFmtId="166" fontId="0" fillId="0" borderId="0" xfId="0" applyNumberFormat="1" applyAlignment="1">
      <alignment horizontal="right" indent="1"/>
    </xf>
    <xf numFmtId="167" fontId="0" fillId="0" borderId="0" xfId="0" applyNumberFormat="1" applyAlignment="1">
      <alignment horizontal="right" indent="1"/>
    </xf>
    <xf numFmtId="0" fontId="0" fillId="2" borderId="0" xfId="0" applyFill="1" applyAlignment="1">
      <alignment horizontal="right" indent="1"/>
    </xf>
    <xf numFmtId="165" fontId="0" fillId="2" borderId="0" xfId="0" applyNumberFormat="1" applyFill="1" applyAlignment="1">
      <alignment horizontal="right" indent="1"/>
    </xf>
    <xf numFmtId="166" fontId="0" fillId="2" borderId="0" xfId="0" applyNumberFormat="1" applyFill="1" applyAlignment="1">
      <alignment horizontal="right" indent="1"/>
    </xf>
    <xf numFmtId="0" fontId="0" fillId="0" borderId="0" xfId="0" applyAlignment="1">
      <alignment horizontal="left"/>
    </xf>
    <xf numFmtId="167" fontId="0" fillId="2" borderId="0" xfId="0" applyNumberFormat="1" applyFill="1" applyAlignment="1">
      <alignment horizontal="right" indent="1"/>
    </xf>
    <xf numFmtId="0" fontId="0" fillId="0" borderId="0" xfId="0" applyFill="1" applyAlignment="1">
      <alignment horizontal="right" indent="1"/>
    </xf>
    <xf numFmtId="165" fontId="0" fillId="0" borderId="0" xfId="0" applyNumberFormat="1" applyFill="1" applyAlignment="1">
      <alignment horizontal="right" indent="1"/>
    </xf>
    <xf numFmtId="166" fontId="0" fillId="0" borderId="0" xfId="0" applyNumberFormat="1" applyFill="1" applyAlignment="1">
      <alignment horizontal="right" indent="1"/>
    </xf>
    <xf numFmtId="167" fontId="0" fillId="0" borderId="0" xfId="0" applyNumberFormat="1" applyFill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0459-C54E-45E8-8500-54473501C793}">
  <dimension ref="A1:F92"/>
  <sheetViews>
    <sheetView workbookViewId="0"/>
  </sheetViews>
  <sheetFormatPr defaultRowHeight="14.5" x14ac:dyDescent="0.35"/>
  <cols>
    <col min="1" max="1" width="11.54296875" style="1" bestFit="1" customWidth="1"/>
    <col min="2" max="2" width="18.08984375" style="1" bestFit="1" customWidth="1"/>
    <col min="3" max="3" width="8.453125" style="1" bestFit="1" customWidth="1"/>
    <col min="4" max="4" width="7.453125" style="1" bestFit="1" customWidth="1"/>
    <col min="5" max="5" width="10.453125" style="1" bestFit="1" customWidth="1"/>
  </cols>
  <sheetData>
    <row r="1" spans="1:6" s="9" customFormat="1" x14ac:dyDescent="0.35">
      <c r="A1" s="9" t="s">
        <v>15</v>
      </c>
      <c r="B1" s="9" t="s">
        <v>16</v>
      </c>
    </row>
    <row r="2" spans="1:6" x14ac:dyDescent="0.35">
      <c r="A2" s="9" t="s">
        <v>0</v>
      </c>
      <c r="B2" s="1">
        <v>19.5</v>
      </c>
    </row>
    <row r="3" spans="1:6" x14ac:dyDescent="0.35">
      <c r="A3" s="9" t="s">
        <v>1</v>
      </c>
      <c r="B3" s="1">
        <v>160.25</v>
      </c>
    </row>
    <row r="4" spans="1:6" x14ac:dyDescent="0.35">
      <c r="A4" s="9" t="s">
        <v>2</v>
      </c>
      <c r="B4" s="1">
        <v>48.2</v>
      </c>
    </row>
    <row r="5" spans="1:6" x14ac:dyDescent="0.35">
      <c r="A5" s="9" t="s">
        <v>3</v>
      </c>
      <c r="B5" s="1">
        <v>-162</v>
      </c>
    </row>
    <row r="6" spans="1:6" x14ac:dyDescent="0.35">
      <c r="A6" s="9" t="s">
        <v>4</v>
      </c>
      <c r="B6" s="1" t="str">
        <f>IF(AND(B2=-B4, MOD(ABS(B3-B5), 360)=180), "ERROR: Antipodal Points", "Valid")</f>
        <v>Valid</v>
      </c>
    </row>
    <row r="7" spans="1:6" x14ac:dyDescent="0.35">
      <c r="A7" s="9" t="s">
        <v>5</v>
      </c>
      <c r="B7" s="2">
        <f>(TAN(RADIANS(B2))*COS(RADIANS(B5))-TAN(RADIANS(B4))*COS(RADIANS(B3)))/SIN(RADIANS(B3)-RADIANS(B5))</f>
        <v>-1.1692928900872517</v>
      </c>
    </row>
    <row r="8" spans="1:6" x14ac:dyDescent="0.35">
      <c r="A8" s="9" t="s">
        <v>6</v>
      </c>
      <c r="B8" s="2">
        <f>(SIN(RADIANS(B3))*TAN(RADIANS(B4))-SIN(RADIANS(B5))*TAN(RADIANS(B2)))/SIN(RADIANS(B3)-RADIANS(B5))</f>
        <v>-0.79607021023534885</v>
      </c>
    </row>
    <row r="9" spans="1:6" x14ac:dyDescent="0.35">
      <c r="A9" s="9" t="s">
        <v>7</v>
      </c>
      <c r="B9" s="1">
        <f>ROUNDUP(DEGREES(ATAN(SQRT(B7^2 + B8^2))),3)</f>
        <v>54.742999999999995</v>
      </c>
    </row>
    <row r="10" spans="1:6" x14ac:dyDescent="0.35">
      <c r="A10" s="9" t="s">
        <v>8</v>
      </c>
      <c r="B10" s="1" t="b">
        <f>OR(MOD(B3-B5, 180)=0, ABS(B2)=90, ABS(B4)=90)</f>
        <v>0</v>
      </c>
    </row>
    <row r="11" spans="1:6" x14ac:dyDescent="0.35">
      <c r="A11" s="9"/>
    </row>
    <row r="12" spans="1:6" s="9" customFormat="1" x14ac:dyDescent="0.35">
      <c r="A12" s="9" t="s">
        <v>10</v>
      </c>
      <c r="B12" s="9" t="s">
        <v>9</v>
      </c>
      <c r="C12" s="9" t="s">
        <v>11</v>
      </c>
      <c r="D12" s="9" t="s">
        <v>12</v>
      </c>
      <c r="E12" s="9" t="s">
        <v>13</v>
      </c>
      <c r="F12" s="9" t="s">
        <v>14</v>
      </c>
    </row>
    <row r="13" spans="1:6" x14ac:dyDescent="0.35">
      <c r="A13" s="1">
        <f>COUNTA(A$12:A12)-1</f>
        <v>0</v>
      </c>
      <c r="B13" s="3">
        <v>160.25</v>
      </c>
      <c r="C13" s="4">
        <f>DEGREES(ATAN($B$7 * SIN(RADIANS(B13)) + $B$8 * COS(RADIANS(B13))))</f>
        <v>19.499999999999993</v>
      </c>
      <c r="D13" s="4" t="str">
        <f>IF(C12="Lat","",C13-C12)</f>
        <v/>
      </c>
      <c r="E13" s="5">
        <f>ROUND(C13,2)</f>
        <v>19.5</v>
      </c>
      <c r="F13" t="str">
        <f>"&lt;Placemark&gt;&lt;name&gt;"&amp;E13&amp;","&amp;B13&amp;"&lt;/name&gt;&lt;Point&gt;&lt;coordinates&gt;"&amp;B13&amp;","&amp;E13&amp;",0&lt;/coordinates&gt;&lt;/Point&gt;&lt;/Placemark&gt;"</f>
        <v>&lt;Placemark&gt;&lt;name&gt;19.5,160.25&lt;/name&gt;&lt;Point&gt;&lt;coordinates&gt;160.25,19.5,0&lt;/coordinates&gt;&lt;/Point&gt;&lt;/Placemark&gt;</v>
      </c>
    </row>
    <row r="14" spans="1:6" x14ac:dyDescent="0.35">
      <c r="A14" s="1">
        <f>COUNTA(A$12:A13)-1</f>
        <v>1</v>
      </c>
      <c r="B14" s="3">
        <f>IF(B13&gt;=180,ROUND(B13,2)+0.25-360,ROUND(B13,2)+0.25)</f>
        <v>160.5</v>
      </c>
      <c r="C14" s="4">
        <f t="shared" ref="C14:C77" si="0">DEGREES(ATAN($B$7 * SIN(RADIANS(B14)) + $B$8 * COS(RADIANS(B14))))</f>
        <v>19.803482953301874</v>
      </c>
      <c r="D14" s="4">
        <f t="shared" ref="D14:D77" si="1">IF(C13="Lat","",C14-C13)</f>
        <v>0.3034829533018808</v>
      </c>
      <c r="E14" s="5">
        <f t="shared" ref="E14:E77" si="2">ROUND(C14,2)</f>
        <v>19.8</v>
      </c>
      <c r="F14" t="str">
        <f t="shared" ref="F14:F77" si="3">"&lt;Placemark&gt;&lt;name&gt;"&amp;E14&amp;","&amp;B14&amp;"&lt;/name&gt;&lt;Point&gt;&lt;coordinates&gt;"&amp;B14&amp;","&amp;E14&amp;",0&lt;/coordinates&gt;&lt;/Point&gt;&lt;/Placemark&gt;"</f>
        <v>&lt;Placemark&gt;&lt;name&gt;19.8,160.5&lt;/name&gt;&lt;Point&gt;&lt;coordinates&gt;160.5,19.8,0&lt;/coordinates&gt;&lt;/Point&gt;&lt;/Placemark&gt;</v>
      </c>
    </row>
    <row r="15" spans="1:6" x14ac:dyDescent="0.35">
      <c r="A15" s="1">
        <f>COUNTA(A$12:A14)-1</f>
        <v>2</v>
      </c>
      <c r="B15" s="3">
        <f t="shared" ref="B15:B78" si="4">IF(B14&gt;=180,ROUND(B14,2)+0.25-360,ROUND(B14,2)+0.25)</f>
        <v>160.75</v>
      </c>
      <c r="C15" s="4">
        <f t="shared" si="0"/>
        <v>20.10546625561059</v>
      </c>
      <c r="D15" s="4">
        <f t="shared" si="1"/>
        <v>0.30198330230871662</v>
      </c>
      <c r="E15" s="5">
        <f t="shared" si="2"/>
        <v>20.11</v>
      </c>
      <c r="F15" t="str">
        <f t="shared" si="3"/>
        <v>&lt;Placemark&gt;&lt;name&gt;20.11,160.75&lt;/name&gt;&lt;Point&gt;&lt;coordinates&gt;160.75,20.11,0&lt;/coordinates&gt;&lt;/Point&gt;&lt;/Placemark&gt;</v>
      </c>
    </row>
    <row r="16" spans="1:6" x14ac:dyDescent="0.35">
      <c r="A16" s="1">
        <f>COUNTA(A$12:A15)-1</f>
        <v>3</v>
      </c>
      <c r="B16" s="3">
        <f t="shared" si="4"/>
        <v>161</v>
      </c>
      <c r="C16" s="4">
        <f t="shared" si="0"/>
        <v>20.405938032146345</v>
      </c>
      <c r="D16" s="4">
        <f t="shared" si="1"/>
        <v>0.30047177653575474</v>
      </c>
      <c r="E16" s="5">
        <f t="shared" si="2"/>
        <v>20.41</v>
      </c>
      <c r="F16" t="str">
        <f t="shared" si="3"/>
        <v>&lt;Placemark&gt;&lt;name&gt;20.41,161&lt;/name&gt;&lt;Point&gt;&lt;coordinates&gt;161,20.41,0&lt;/coordinates&gt;&lt;/Point&gt;&lt;/Placemark&gt;</v>
      </c>
    </row>
    <row r="17" spans="1:6" x14ac:dyDescent="0.35">
      <c r="A17" s="1">
        <f>COUNTA(A$12:A16)-1</f>
        <v>4</v>
      </c>
      <c r="B17" s="3">
        <f t="shared" si="4"/>
        <v>161.25</v>
      </c>
      <c r="C17" s="4">
        <f t="shared" si="0"/>
        <v>20.704886901216657</v>
      </c>
      <c r="D17" s="4">
        <f t="shared" si="1"/>
        <v>0.29894886907031193</v>
      </c>
      <c r="E17" s="5">
        <f t="shared" si="2"/>
        <v>20.7</v>
      </c>
      <c r="F17" t="str">
        <f t="shared" si="3"/>
        <v>&lt;Placemark&gt;&lt;name&gt;20.7,161.25&lt;/name&gt;&lt;Point&gt;&lt;coordinates&gt;161.25,20.7,0&lt;/coordinates&gt;&lt;/Point&gt;&lt;/Placemark&gt;</v>
      </c>
    </row>
    <row r="18" spans="1:6" x14ac:dyDescent="0.35">
      <c r="A18" s="1">
        <f>COUNTA(A$12:A17)-1</f>
        <v>5</v>
      </c>
      <c r="B18" s="3">
        <f t="shared" si="4"/>
        <v>161.5</v>
      </c>
      <c r="C18" s="4">
        <f t="shared" si="0"/>
        <v>21.002301970215846</v>
      </c>
      <c r="D18" s="4">
        <f t="shared" si="1"/>
        <v>0.29741506899918946</v>
      </c>
      <c r="E18" s="5">
        <f t="shared" si="2"/>
        <v>21</v>
      </c>
      <c r="F18" t="str">
        <f t="shared" si="3"/>
        <v>&lt;Placemark&gt;&lt;name&gt;21,161.5&lt;/name&gt;&lt;Point&gt;&lt;coordinates&gt;161.5,21,0&lt;/coordinates&gt;&lt;/Point&gt;&lt;/Placemark&gt;</v>
      </c>
    </row>
    <row r="19" spans="1:6" x14ac:dyDescent="0.35">
      <c r="A19" s="1">
        <f>COUNTA(A$12:A18)-1</f>
        <v>6</v>
      </c>
      <c r="B19" s="3">
        <f t="shared" si="4"/>
        <v>161.75</v>
      </c>
      <c r="C19" s="4">
        <f t="shared" si="0"/>
        <v>21.298172831349508</v>
      </c>
      <c r="D19" s="4">
        <f t="shared" si="1"/>
        <v>0.29587086113366112</v>
      </c>
      <c r="E19" s="5">
        <f t="shared" si="2"/>
        <v>21.3</v>
      </c>
      <c r="F19" t="str">
        <f t="shared" si="3"/>
        <v>&lt;Placemark&gt;&lt;name&gt;21.3,161.75&lt;/name&gt;&lt;Point&gt;&lt;coordinates&gt;161.75,21.3,0&lt;/coordinates&gt;&lt;/Point&gt;&lt;/Placemark&gt;</v>
      </c>
    </row>
    <row r="20" spans="1:6" x14ac:dyDescent="0.35">
      <c r="A20" s="1">
        <f>COUNTA(A$12:A19)-1</f>
        <v>7</v>
      </c>
      <c r="B20" s="3">
        <f t="shared" si="4"/>
        <v>162</v>
      </c>
      <c r="C20" s="4">
        <f t="shared" si="0"/>
        <v>21.592489557096677</v>
      </c>
      <c r="D20" s="4">
        <f t="shared" si="1"/>
        <v>0.29431672574716927</v>
      </c>
      <c r="E20" s="5">
        <f t="shared" si="2"/>
        <v>21.59</v>
      </c>
      <c r="F20" t="str">
        <f t="shared" si="3"/>
        <v>&lt;Placemark&gt;&lt;name&gt;21.59,162&lt;/name&gt;&lt;Point&gt;&lt;coordinates&gt;162,21.59,0&lt;/coordinates&gt;&lt;/Point&gt;&lt;/Placemark&gt;</v>
      </c>
    </row>
    <row r="21" spans="1:6" x14ac:dyDescent="0.35">
      <c r="A21" s="1">
        <f>COUNTA(A$12:A20)-1</f>
        <v>8</v>
      </c>
      <c r="B21" s="3">
        <f t="shared" si="4"/>
        <v>162.25</v>
      </c>
      <c r="C21" s="4">
        <f t="shared" si="0"/>
        <v>21.885242695421773</v>
      </c>
      <c r="D21" s="4">
        <f t="shared" si="1"/>
        <v>0.29275313832509653</v>
      </c>
      <c r="E21" s="5">
        <f t="shared" si="2"/>
        <v>21.89</v>
      </c>
      <c r="F21" t="str">
        <f t="shared" si="3"/>
        <v>&lt;Placemark&gt;&lt;name&gt;21.89,162.25&lt;/name&gt;&lt;Point&gt;&lt;coordinates&gt;162.25,21.89,0&lt;/coordinates&gt;&lt;/Point&gt;&lt;/Placemark&gt;</v>
      </c>
    </row>
    <row r="22" spans="1:6" x14ac:dyDescent="0.35">
      <c r="A22" s="1">
        <f>COUNTA(A$12:A21)-1</f>
        <v>9</v>
      </c>
      <c r="B22" s="3">
        <f t="shared" si="4"/>
        <v>162.5</v>
      </c>
      <c r="C22" s="4">
        <f t="shared" si="0"/>
        <v>22.176423264748284</v>
      </c>
      <c r="D22" s="4">
        <f t="shared" si="1"/>
        <v>0.29118056932651015</v>
      </c>
      <c r="E22" s="5">
        <f t="shared" si="2"/>
        <v>22.18</v>
      </c>
      <c r="F22" t="str">
        <f t="shared" si="3"/>
        <v>&lt;Placemark&gt;&lt;name&gt;22.18,162.5&lt;/name&gt;&lt;Point&gt;&lt;coordinates&gt;162.5,22.18,0&lt;/coordinates&gt;&lt;/Point&gt;&lt;/Placemark&gt;</v>
      </c>
    </row>
    <row r="23" spans="1:6" x14ac:dyDescent="0.35">
      <c r="A23" s="1">
        <f>COUNTA(A$12:A22)-1</f>
        <v>10</v>
      </c>
      <c r="B23" s="3">
        <f t="shared" si="4"/>
        <v>162.75</v>
      </c>
      <c r="C23" s="4">
        <f t="shared" si="0"/>
        <v>22.46602274870715</v>
      </c>
      <c r="D23" s="4">
        <f t="shared" si="1"/>
        <v>0.2895994839588667</v>
      </c>
      <c r="E23" s="5">
        <f t="shared" si="2"/>
        <v>22.47</v>
      </c>
      <c r="F23" t="str">
        <f t="shared" si="3"/>
        <v>&lt;Placemark&gt;&lt;name&gt;22.47,162.75&lt;/name&gt;&lt;Point&gt;&lt;coordinates&gt;162.75,22.47,0&lt;/coordinates&gt;&lt;/Point&gt;&lt;/Placemark&gt;</v>
      </c>
    </row>
    <row r="24" spans="1:6" x14ac:dyDescent="0.35">
      <c r="A24" s="1">
        <f>COUNTA(A$12:A23)-1</f>
        <v>11</v>
      </c>
      <c r="B24" s="3">
        <f t="shared" si="4"/>
        <v>163</v>
      </c>
      <c r="C24" s="4">
        <f t="shared" si="0"/>
        <v>22.754033090671186</v>
      </c>
      <c r="D24" s="4">
        <f t="shared" si="1"/>
        <v>0.28801034196403563</v>
      </c>
      <c r="E24" s="5">
        <f t="shared" si="2"/>
        <v>22.75</v>
      </c>
      <c r="F24" t="str">
        <f t="shared" si="3"/>
        <v>&lt;Placemark&gt;&lt;name&gt;22.75,163&lt;/name&gt;&lt;Point&gt;&lt;coordinates&gt;163,22.75,0&lt;/coordinates&gt;&lt;/Point&gt;&lt;/Placemark&gt;</v>
      </c>
    </row>
    <row r="25" spans="1:6" x14ac:dyDescent="0.35">
      <c r="A25" s="1">
        <f>COUNTA(A$12:A24)-1</f>
        <v>12</v>
      </c>
      <c r="B25" s="3">
        <f t="shared" si="4"/>
        <v>163.25</v>
      </c>
      <c r="C25" s="4">
        <f t="shared" si="0"/>
        <v>23.040446688088402</v>
      </c>
      <c r="D25" s="4">
        <f t="shared" si="1"/>
        <v>0.28641359741721573</v>
      </c>
      <c r="E25" s="5">
        <f t="shared" si="2"/>
        <v>23.04</v>
      </c>
      <c r="F25" t="str">
        <f t="shared" si="3"/>
        <v>&lt;Placemark&gt;&lt;name&gt;23.04,163.25&lt;/name&gt;&lt;Point&gt;&lt;coordinates&gt;163.25,23.04,0&lt;/coordinates&gt;&lt;/Point&gt;&lt;/Placemark&gt;</v>
      </c>
    </row>
    <row r="26" spans="1:6" x14ac:dyDescent="0.35">
      <c r="A26" s="1">
        <f>COUNTA(A$12:A25)-1</f>
        <v>13</v>
      </c>
      <c r="B26" s="3">
        <f t="shared" si="4"/>
        <v>163.5</v>
      </c>
      <c r="C26" s="4">
        <f t="shared" si="0"/>
        <v>23.325256386625792</v>
      </c>
      <c r="D26" s="4">
        <f t="shared" si="1"/>
        <v>0.28480969853739069</v>
      </c>
      <c r="E26" s="5">
        <f t="shared" si="2"/>
        <v>23.33</v>
      </c>
      <c r="F26" t="str">
        <f t="shared" si="3"/>
        <v>&lt;Placemark&gt;&lt;name&gt;23.33,163.5&lt;/name&gt;&lt;Point&gt;&lt;coordinates&gt;163.5,23.33,0&lt;/coordinates&gt;&lt;/Point&gt;&lt;/Placemark&gt;</v>
      </c>
    </row>
    <row r="27" spans="1:6" x14ac:dyDescent="0.35">
      <c r="A27" s="1">
        <f>COUNTA(A$12:A26)-1</f>
        <v>14</v>
      </c>
      <c r="B27" s="3">
        <f t="shared" si="4"/>
        <v>163.75</v>
      </c>
      <c r="C27" s="4">
        <f t="shared" si="0"/>
        <v>23.608455474135372</v>
      </c>
      <c r="D27" s="4">
        <f t="shared" si="1"/>
        <v>0.28319908750957978</v>
      </c>
      <c r="E27" s="5">
        <f t="shared" si="2"/>
        <v>23.61</v>
      </c>
      <c r="F27" t="str">
        <f t="shared" si="3"/>
        <v>&lt;Placemark&gt;&lt;name&gt;23.61,163.75&lt;/name&gt;&lt;Point&gt;&lt;coordinates&gt;163.75,23.61,0&lt;/coordinates&gt;&lt;/Point&gt;&lt;/Placemark&gt;</v>
      </c>
    </row>
    <row r="28" spans="1:6" x14ac:dyDescent="0.35">
      <c r="A28" s="1">
        <f>COUNTA(A$12:A27)-1</f>
        <v>15</v>
      </c>
      <c r="B28" s="3">
        <f t="shared" si="4"/>
        <v>164</v>
      </c>
      <c r="C28" s="4">
        <f t="shared" si="0"/>
        <v>23.890037674454721</v>
      </c>
      <c r="D28" s="4">
        <f t="shared" si="1"/>
        <v>0.28158220031934889</v>
      </c>
      <c r="E28" s="5">
        <f t="shared" si="2"/>
        <v>23.89</v>
      </c>
      <c r="F28" t="str">
        <f t="shared" si="3"/>
        <v>&lt;Placemark&gt;&lt;name&gt;23.89,164&lt;/name&gt;&lt;Point&gt;&lt;coordinates&gt;164,23.89,0&lt;/coordinates&gt;&lt;/Point&gt;&lt;/Placemark&gt;</v>
      </c>
    </row>
    <row r="29" spans="1:6" x14ac:dyDescent="0.35">
      <c r="A29" s="1">
        <f>COUNTA(A$12:A28)-1</f>
        <v>16</v>
      </c>
      <c r="B29" s="3">
        <f t="shared" si="4"/>
        <v>164.25</v>
      </c>
      <c r="C29" s="4">
        <f t="shared" si="0"/>
        <v>24.169997141052875</v>
      </c>
      <c r="D29" s="4">
        <f t="shared" si="1"/>
        <v>0.27995946659815374</v>
      </c>
      <c r="E29" s="5">
        <f t="shared" si="2"/>
        <v>24.17</v>
      </c>
      <c r="F29" t="str">
        <f t="shared" si="3"/>
        <v>&lt;Placemark&gt;&lt;name&gt;24.17,164.25&lt;/name&gt;&lt;Point&gt;&lt;coordinates&gt;164.25,24.17,0&lt;/coordinates&gt;&lt;/Point&gt;&lt;/Placemark&gt;</v>
      </c>
    </row>
    <row r="30" spans="1:6" x14ac:dyDescent="0.35">
      <c r="A30" s="1">
        <f>COUNTA(A$12:A29)-1</f>
        <v>17</v>
      </c>
      <c r="B30" s="3">
        <f t="shared" si="4"/>
        <v>164.5</v>
      </c>
      <c r="C30" s="4">
        <f t="shared" si="0"/>
        <v>24.448328450533623</v>
      </c>
      <c r="D30" s="4">
        <f t="shared" si="1"/>
        <v>0.27833130948074825</v>
      </c>
      <c r="E30" s="5">
        <f t="shared" si="2"/>
        <v>24.45</v>
      </c>
      <c r="F30" t="str">
        <f t="shared" si="3"/>
        <v>&lt;Placemark&gt;&lt;name&gt;24.45,164.5&lt;/name&gt;&lt;Point&gt;&lt;coordinates&gt;164.5,24.45,0&lt;/coordinates&gt;&lt;/Point&gt;&lt;/Placemark&gt;</v>
      </c>
    </row>
    <row r="31" spans="1:6" x14ac:dyDescent="0.35">
      <c r="A31" s="1">
        <f>COUNTA(A$12:A30)-1</f>
        <v>18</v>
      </c>
      <c r="B31" s="3">
        <f t="shared" si="4"/>
        <v>164.75</v>
      </c>
      <c r="C31" s="4">
        <f t="shared" si="0"/>
        <v>24.725026596007087</v>
      </c>
      <c r="D31" s="4">
        <f t="shared" si="1"/>
        <v>0.27669814547346405</v>
      </c>
      <c r="E31" s="5">
        <f t="shared" si="2"/>
        <v>24.73</v>
      </c>
      <c r="F31" t="str">
        <f t="shared" si="3"/>
        <v>&lt;Placemark&gt;&lt;name&gt;24.73,164.75&lt;/name&gt;&lt;Point&gt;&lt;coordinates&gt;164.75,24.73,0&lt;/coordinates&gt;&lt;/Point&gt;&lt;/Placemark&gt;</v>
      </c>
    </row>
    <row r="32" spans="1:6" x14ac:dyDescent="0.35">
      <c r="A32" s="1">
        <f>COUNTA(A$12:A31)-1</f>
        <v>19</v>
      </c>
      <c r="B32" s="3">
        <f t="shared" si="4"/>
        <v>165</v>
      </c>
      <c r="C32" s="4">
        <f t="shared" si="0"/>
        <v>25.000086980340349</v>
      </c>
      <c r="D32" s="4">
        <f t="shared" si="1"/>
        <v>0.27506038433326196</v>
      </c>
      <c r="E32" s="5">
        <f t="shared" si="2"/>
        <v>25</v>
      </c>
      <c r="F32" t="str">
        <f t="shared" si="3"/>
        <v>&lt;Placemark&gt;&lt;name&gt;25,165&lt;/name&gt;&lt;Point&gt;&lt;coordinates&gt;165,25,0&lt;/coordinates&gt;&lt;/Point&gt;&lt;/Placemark&gt;</v>
      </c>
    </row>
    <row r="33" spans="1:6" x14ac:dyDescent="0.35">
      <c r="A33" s="1">
        <f>COUNTA(A$12:A32)-1</f>
        <v>20</v>
      </c>
      <c r="B33" s="3">
        <f t="shared" si="4"/>
        <v>165.25</v>
      </c>
      <c r="C33" s="4">
        <f t="shared" si="0"/>
        <v>25.27350540929859</v>
      </c>
      <c r="D33" s="4">
        <f t="shared" si="1"/>
        <v>0.27341842895824087</v>
      </c>
      <c r="E33" s="5">
        <f t="shared" si="2"/>
        <v>25.27</v>
      </c>
      <c r="F33" t="str">
        <f t="shared" si="3"/>
        <v>&lt;Placemark&gt;&lt;name&gt;25.27,165.25&lt;/name&gt;&lt;Point&gt;&lt;coordinates&gt;165.25,25.27,0&lt;/coordinates&gt;&lt;/Point&gt;&lt;/Placemark&gt;</v>
      </c>
    </row>
    <row r="34" spans="1:6" x14ac:dyDescent="0.35">
      <c r="A34" s="1">
        <f>COUNTA(A$12:A33)-1</f>
        <v>21</v>
      </c>
      <c r="B34" s="3">
        <f t="shared" si="4"/>
        <v>165.5</v>
      </c>
      <c r="C34" s="4">
        <f t="shared" si="0"/>
        <v>25.545278084586435</v>
      </c>
      <c r="D34" s="4">
        <f t="shared" si="1"/>
        <v>0.27177267528784554</v>
      </c>
      <c r="E34" s="5">
        <f t="shared" si="2"/>
        <v>25.55</v>
      </c>
      <c r="F34" t="str">
        <f t="shared" si="3"/>
        <v>&lt;Placemark&gt;&lt;name&gt;25.55,165.5&lt;/name&gt;&lt;Point&gt;&lt;coordinates&gt;165.5,25.55,0&lt;/coordinates&gt;&lt;/Point&gt;&lt;/Placemark&gt;</v>
      </c>
    </row>
    <row r="35" spans="1:6" x14ac:dyDescent="0.35">
      <c r="A35" s="1">
        <f>COUNTA(A$12:A34)-1</f>
        <v>22</v>
      </c>
      <c r="B35" s="3">
        <f t="shared" si="4"/>
        <v>165.75</v>
      </c>
      <c r="C35" s="4">
        <f t="shared" si="0"/>
        <v>25.815401596800427</v>
      </c>
      <c r="D35" s="4">
        <f t="shared" si="1"/>
        <v>0.270123512213992</v>
      </c>
      <c r="E35" s="5">
        <f t="shared" si="2"/>
        <v>25.82</v>
      </c>
      <c r="F35" t="str">
        <f t="shared" si="3"/>
        <v>&lt;Placemark&gt;&lt;name&gt;25.82,165.75&lt;/name&gt;&lt;Point&gt;&lt;coordinates&gt;165.75,25.82,0&lt;/coordinates&gt;&lt;/Point&gt;&lt;/Placemark&gt;</v>
      </c>
    </row>
    <row r="36" spans="1:6" x14ac:dyDescent="0.35">
      <c r="A36" s="1">
        <f>COUNTA(A$12:A35)-1</f>
        <v>23</v>
      </c>
      <c r="B36" s="3">
        <f t="shared" si="4"/>
        <v>166</v>
      </c>
      <c r="C36" s="4">
        <f t="shared" si="0"/>
        <v>26.083872918302557</v>
      </c>
      <c r="D36" s="4">
        <f t="shared" si="1"/>
        <v>0.26847132150212971</v>
      </c>
      <c r="E36" s="5">
        <f t="shared" si="2"/>
        <v>26.08</v>
      </c>
      <c r="F36" t="str">
        <f t="shared" si="3"/>
        <v>&lt;Placemark&gt;&lt;name&gt;26.08,166&lt;/name&gt;&lt;Point&gt;&lt;coordinates&gt;166,26.08,0&lt;/coordinates&gt;&lt;/Point&gt;&lt;/Placemark&gt;</v>
      </c>
    </row>
    <row r="37" spans="1:6" x14ac:dyDescent="0.35">
      <c r="A37" s="1">
        <f>COUNTA(A$12:A36)-1</f>
        <v>24</v>
      </c>
      <c r="B37" s="3">
        <f t="shared" si="4"/>
        <v>166.25</v>
      </c>
      <c r="C37" s="4">
        <f t="shared" si="0"/>
        <v>26.35068939602424</v>
      </c>
      <c r="D37" s="4">
        <f t="shared" si="1"/>
        <v>0.26681647772168304</v>
      </c>
      <c r="E37" s="5">
        <f t="shared" si="2"/>
        <v>26.35</v>
      </c>
      <c r="F37" t="str">
        <f t="shared" si="3"/>
        <v>&lt;Placemark&gt;&lt;name&gt;26.35,166.25&lt;/name&gt;&lt;Point&gt;&lt;coordinates&gt;166.25,26.35,0&lt;/coordinates&gt;&lt;/Point&gt;&lt;/Placemark&gt;</v>
      </c>
    </row>
    <row r="38" spans="1:6" x14ac:dyDescent="0.35">
      <c r="A38" s="1">
        <f>COUNTA(A$12:A37)-1</f>
        <v>25</v>
      </c>
      <c r="B38" s="3">
        <f t="shared" si="4"/>
        <v>166.5</v>
      </c>
      <c r="C38" s="4">
        <f t="shared" si="0"/>
        <v>26.61584874421083</v>
      </c>
      <c r="D38" s="4">
        <f t="shared" si="1"/>
        <v>0.26515934818658948</v>
      </c>
      <c r="E38" s="5">
        <f t="shared" si="2"/>
        <v>26.62</v>
      </c>
      <c r="F38" t="str">
        <f t="shared" si="3"/>
        <v>&lt;Placemark&gt;&lt;name&gt;26.62,166.5&lt;/name&gt;&lt;Point&gt;&lt;coordinates&gt;166.5,26.62,0&lt;/coordinates&gt;&lt;/Point&gt;&lt;/Placemark&gt;</v>
      </c>
    </row>
    <row r="39" spans="1:6" x14ac:dyDescent="0.35">
      <c r="A39" s="1">
        <f>COUNTA(A$12:A38)-1</f>
        <v>26</v>
      </c>
      <c r="B39" s="3">
        <f t="shared" si="4"/>
        <v>166.75</v>
      </c>
      <c r="C39" s="4">
        <f t="shared" si="0"/>
        <v>26.87934903711562</v>
      </c>
      <c r="D39" s="4">
        <f t="shared" si="1"/>
        <v>0.26350029290479071</v>
      </c>
      <c r="E39" s="5">
        <f t="shared" si="2"/>
        <v>26.88</v>
      </c>
      <c r="F39" t="str">
        <f t="shared" si="3"/>
        <v>&lt;Placemark&gt;&lt;name&gt;26.88,166.75&lt;/name&gt;&lt;Point&gt;&lt;coordinates&gt;166.75,26.88,0&lt;/coordinates&gt;&lt;/Point&gt;&lt;/Placemark&gt;</v>
      </c>
    </row>
    <row r="40" spans="1:6" x14ac:dyDescent="0.35">
      <c r="A40" s="1">
        <f>COUNTA(A$12:A39)-1</f>
        <v>27</v>
      </c>
      <c r="B40" s="3">
        <f t="shared" si="4"/>
        <v>167</v>
      </c>
      <c r="C40" s="4">
        <f t="shared" si="0"/>
        <v>27.141188701652048</v>
      </c>
      <c r="D40" s="4">
        <f t="shared" si="1"/>
        <v>0.26183966453642782</v>
      </c>
      <c r="E40" s="5">
        <f t="shared" si="2"/>
        <v>27.14</v>
      </c>
      <c r="F40" t="str">
        <f t="shared" si="3"/>
        <v>&lt;Placemark&gt;&lt;name&gt;27.14,167&lt;/name&gt;&lt;Point&gt;&lt;coordinates&gt;167,27.14,0&lt;/coordinates&gt;&lt;/Point&gt;&lt;/Placemark&gt;</v>
      </c>
    </row>
    <row r="41" spans="1:6" x14ac:dyDescent="0.35">
      <c r="A41" s="1">
        <f>COUNTA(A$12:A40)-1</f>
        <v>28</v>
      </c>
      <c r="B41" s="3">
        <f t="shared" si="4"/>
        <v>167.25</v>
      </c>
      <c r="C41" s="4">
        <f t="shared" si="0"/>
        <v>27.401366510013549</v>
      </c>
      <c r="D41" s="4">
        <f t="shared" si="1"/>
        <v>0.26017780836150095</v>
      </c>
      <c r="E41" s="5">
        <f t="shared" si="2"/>
        <v>27.4</v>
      </c>
      <c r="F41" t="str">
        <f t="shared" si="3"/>
        <v>&lt;Placemark&gt;&lt;name&gt;27.4,167.25&lt;/name&gt;&lt;Point&gt;&lt;coordinates&gt;167.25,27.4,0&lt;/coordinates&gt;&lt;/Point&gt;&lt;/Placemark&gt;</v>
      </c>
    </row>
    <row r="42" spans="1:6" x14ac:dyDescent="0.35">
      <c r="A42" s="1">
        <f>COUNTA(A$12:A41)-1</f>
        <v>29</v>
      </c>
      <c r="B42" s="3">
        <f t="shared" si="4"/>
        <v>167.5</v>
      </c>
      <c r="C42" s="4">
        <f t="shared" si="0"/>
        <v>27.659881572268386</v>
      </c>
      <c r="D42" s="4">
        <f t="shared" si="1"/>
        <v>0.25851506225483689</v>
      </c>
      <c r="E42" s="5">
        <f t="shared" si="2"/>
        <v>27.66</v>
      </c>
      <c r="F42" t="str">
        <f t="shared" si="3"/>
        <v>&lt;Placemark&gt;&lt;name&gt;27.66,167.5&lt;/name&gt;&lt;Point&gt;&lt;coordinates&gt;167.5,27.66,0&lt;/coordinates&gt;&lt;/Point&gt;&lt;/Placemark&gt;</v>
      </c>
    </row>
    <row r="43" spans="1:6" x14ac:dyDescent="0.35">
      <c r="A43" s="1">
        <f>COUNTA(A$12:A42)-1</f>
        <v>30</v>
      </c>
      <c r="B43" s="3">
        <f t="shared" si="4"/>
        <v>167.75</v>
      </c>
      <c r="C43" s="4">
        <f t="shared" si="0"/>
        <v>27.91673332893858</v>
      </c>
      <c r="D43" s="4">
        <f t="shared" si="1"/>
        <v>0.25685175667019422</v>
      </c>
      <c r="E43" s="5">
        <f t="shared" si="2"/>
        <v>27.92</v>
      </c>
      <c r="F43" t="str">
        <f t="shared" si="3"/>
        <v>&lt;Placemark&gt;&lt;name&gt;27.92,167.75&lt;/name&gt;&lt;Point&gt;&lt;coordinates&gt;167.75,27.92,0&lt;/coordinates&gt;&lt;/Point&gt;&lt;/Placemark&gt;</v>
      </c>
    </row>
    <row r="44" spans="1:6" x14ac:dyDescent="0.35">
      <c r="A44" s="1">
        <f>COUNTA(A$12:A43)-1</f>
        <v>31</v>
      </c>
      <c r="B44" s="3">
        <f t="shared" si="4"/>
        <v>168</v>
      </c>
      <c r="C44" s="4">
        <f t="shared" si="0"/>
        <v>28.171921543570139</v>
      </c>
      <c r="D44" s="4">
        <f t="shared" si="1"/>
        <v>0.25518821463155916</v>
      </c>
      <c r="E44" s="5">
        <f t="shared" si="2"/>
        <v>28.17</v>
      </c>
      <c r="F44" t="str">
        <f t="shared" si="3"/>
        <v>&lt;Placemark&gt;&lt;name&gt;28.17,168&lt;/name&gt;&lt;Point&gt;&lt;coordinates&gt;168,28.17,0&lt;/coordinates&gt;&lt;/Point&gt;&lt;/Placemark&gt;</v>
      </c>
    </row>
    <row r="45" spans="1:6" x14ac:dyDescent="0.35">
      <c r="A45" s="1">
        <f>COUNTA(A$12:A44)-1</f>
        <v>32</v>
      </c>
      <c r="B45" s="3">
        <f t="shared" si="4"/>
        <v>168.25</v>
      </c>
      <c r="C45" s="4">
        <f t="shared" si="0"/>
        <v>28.425446295302127</v>
      </c>
      <c r="D45" s="4">
        <f t="shared" si="1"/>
        <v>0.25352475173198741</v>
      </c>
      <c r="E45" s="5">
        <f t="shared" si="2"/>
        <v>28.43</v>
      </c>
      <c r="F45" t="str">
        <f t="shared" si="3"/>
        <v>&lt;Placemark&gt;&lt;name&gt;28.43,168.25&lt;/name&gt;&lt;Point&gt;&lt;coordinates&gt;168.25,28.43,0&lt;/coordinates&gt;&lt;/Point&gt;&lt;/Placemark&gt;</v>
      </c>
    </row>
    <row r="46" spans="1:6" x14ac:dyDescent="0.35">
      <c r="A46" s="1">
        <f>COUNTA(A$12:A45)-1</f>
        <v>33</v>
      </c>
      <c r="B46" s="3">
        <f t="shared" si="4"/>
        <v>168.5</v>
      </c>
      <c r="C46" s="4">
        <f t="shared" si="0"/>
        <v>28.677307971442215</v>
      </c>
      <c r="D46" s="4">
        <f t="shared" si="1"/>
        <v>0.25186167614008781</v>
      </c>
      <c r="E46" s="5">
        <f t="shared" si="2"/>
        <v>28.68</v>
      </c>
      <c r="F46" t="str">
        <f t="shared" si="3"/>
        <v>&lt;Placemark&gt;&lt;name&gt;28.68,168.5&lt;/name&gt;&lt;Point&gt;&lt;coordinates&gt;168.5,28.68,0&lt;/coordinates&gt;&lt;/Point&gt;&lt;/Placemark&gt;</v>
      </c>
    </row>
    <row r="47" spans="1:6" x14ac:dyDescent="0.35">
      <c r="A47" s="1">
        <f>COUNTA(A$12:A46)-1</f>
        <v>34</v>
      </c>
      <c r="B47" s="3">
        <f t="shared" si="4"/>
        <v>168.75</v>
      </c>
      <c r="C47" s="4">
        <f t="shared" si="0"/>
        <v>28.927507260055041</v>
      </c>
      <c r="D47" s="4">
        <f t="shared" si="1"/>
        <v>0.25019928861282636</v>
      </c>
      <c r="E47" s="5">
        <f t="shared" si="2"/>
        <v>28.93</v>
      </c>
      <c r="F47" t="str">
        <f t="shared" si="3"/>
        <v>&lt;Placemark&gt;&lt;name&gt;28.93,168.75&lt;/name&gt;&lt;Point&gt;&lt;coordinates&gt;168.75,28.93,0&lt;/coordinates&gt;&lt;/Point&gt;&lt;/Placemark&gt;</v>
      </c>
    </row>
    <row r="48" spans="1:6" x14ac:dyDescent="0.35">
      <c r="A48" s="1">
        <f>COUNTA(A$12:A47)-1</f>
        <v>35</v>
      </c>
      <c r="B48" s="3">
        <f t="shared" si="4"/>
        <v>169</v>
      </c>
      <c r="C48" s="4">
        <f t="shared" si="0"/>
        <v>29.176045142570523</v>
      </c>
      <c r="D48" s="4">
        <f t="shared" si="1"/>
        <v>0.24853788251548181</v>
      </c>
      <c r="E48" s="5">
        <f t="shared" si="2"/>
        <v>29.18</v>
      </c>
      <c r="F48" t="str">
        <f t="shared" si="3"/>
        <v>&lt;Placemark&gt;&lt;name&gt;29.18,169&lt;/name&gt;&lt;Point&gt;&lt;coordinates&gt;169,29.18,0&lt;/coordinates&gt;&lt;/Point&gt;&lt;/Placemark&gt;</v>
      </c>
    </row>
    <row r="49" spans="1:6" x14ac:dyDescent="0.35">
      <c r="A49" s="1">
        <f>COUNTA(A$12:A48)-1</f>
        <v>36</v>
      </c>
      <c r="B49" s="3">
        <f t="shared" si="4"/>
        <v>169.25</v>
      </c>
      <c r="C49" s="4">
        <f t="shared" si="0"/>
        <v>29.42292288641827</v>
      </c>
      <c r="D49" s="4">
        <f t="shared" si="1"/>
        <v>0.24687774384774741</v>
      </c>
      <c r="E49" s="5">
        <f t="shared" si="2"/>
        <v>29.42</v>
      </c>
      <c r="F49" t="str">
        <f t="shared" si="3"/>
        <v>&lt;Placemark&gt;&lt;name&gt;29.42,169.25&lt;/name&gt;&lt;Point&gt;&lt;coordinates&gt;169.25,29.42,0&lt;/coordinates&gt;&lt;/Point&gt;&lt;/Placemark&gt;</v>
      </c>
    </row>
    <row r="50" spans="1:6" x14ac:dyDescent="0.35">
      <c r="A50" s="1">
        <f>COUNTA(A$12:A49)-1</f>
        <v>37</v>
      </c>
      <c r="B50" s="3">
        <f t="shared" si="4"/>
        <v>169.5</v>
      </c>
      <c r="C50" s="4">
        <f t="shared" si="0"/>
        <v>29.668142037693951</v>
      </c>
      <c r="D50" s="4">
        <f t="shared" si="1"/>
        <v>0.2452191512756805</v>
      </c>
      <c r="E50" s="5">
        <f t="shared" si="2"/>
        <v>29.67</v>
      </c>
      <c r="F50" t="str">
        <f t="shared" si="3"/>
        <v>&lt;Placemark&gt;&lt;name&gt;29.67,169.5&lt;/name&gt;&lt;Point&gt;&lt;coordinates&gt;169.5,29.67,0&lt;/coordinates&gt;&lt;/Point&gt;&lt;/Placemark&gt;</v>
      </c>
    </row>
    <row r="51" spans="1:6" x14ac:dyDescent="0.35">
      <c r="A51" s="1">
        <f>COUNTA(A$12:A50)-1</f>
        <v>38</v>
      </c>
      <c r="B51" s="3">
        <f t="shared" si="4"/>
        <v>169.75</v>
      </c>
      <c r="C51" s="4">
        <f t="shared" si="0"/>
        <v>29.911704413863838</v>
      </c>
      <c r="D51" s="4">
        <f t="shared" si="1"/>
        <v>0.24356237616988707</v>
      </c>
      <c r="E51" s="5">
        <f t="shared" si="2"/>
        <v>29.91</v>
      </c>
      <c r="F51" t="str">
        <f t="shared" si="3"/>
        <v>&lt;Placemark&gt;&lt;name&gt;29.91,169.75&lt;/name&gt;&lt;Point&gt;&lt;coordinates&gt;169.75,29.91,0&lt;/coordinates&gt;&lt;/Point&gt;&lt;/Placemark&gt;</v>
      </c>
    </row>
    <row r="52" spans="1:6" x14ac:dyDescent="0.35">
      <c r="A52" s="1">
        <f>COUNTA(A$12:A51)-1</f>
        <v>39</v>
      </c>
      <c r="B52" s="3">
        <f t="shared" si="4"/>
        <v>170</v>
      </c>
      <c r="C52" s="4">
        <f t="shared" si="0"/>
        <v>30.15361209651244</v>
      </c>
      <c r="D52" s="4">
        <f t="shared" si="1"/>
        <v>0.24190768264860196</v>
      </c>
      <c r="E52" s="5">
        <f t="shared" si="2"/>
        <v>30.15</v>
      </c>
      <c r="F52" t="str">
        <f t="shared" si="3"/>
        <v>&lt;Placemark&gt;&lt;name&gt;30.15,170&lt;/name&gt;&lt;Point&gt;&lt;coordinates&gt;170,30.15,0&lt;/coordinates&gt;&lt;/Point&gt;&lt;/Placemark&gt;</v>
      </c>
    </row>
    <row r="53" spans="1:6" x14ac:dyDescent="0.35">
      <c r="A53" s="1">
        <f>COUNTA(A$12:A52)-1</f>
        <v>40</v>
      </c>
      <c r="B53" s="3">
        <f t="shared" si="4"/>
        <v>170.25</v>
      </c>
      <c r="C53" s="4">
        <f t="shared" si="0"/>
        <v>30.393867424138993</v>
      </c>
      <c r="D53" s="4">
        <f t="shared" si="1"/>
        <v>0.24025532762655288</v>
      </c>
      <c r="E53" s="5">
        <f t="shared" si="2"/>
        <v>30.39</v>
      </c>
      <c r="F53" t="str">
        <f t="shared" si="3"/>
        <v>&lt;Placemark&gt;&lt;name&gt;30.39,170.25&lt;/name&gt;&lt;Point&gt;&lt;coordinates&gt;170.25,30.39,0&lt;/coordinates&gt;&lt;/Point&gt;&lt;/Placemark&gt;</v>
      </c>
    </row>
    <row r="54" spans="1:6" x14ac:dyDescent="0.35">
      <c r="A54" s="1">
        <f>COUNTA(A$12:A53)-1</f>
        <v>41</v>
      </c>
      <c r="B54" s="3">
        <f t="shared" si="4"/>
        <v>170.5</v>
      </c>
      <c r="C54" s="4">
        <f t="shared" si="0"/>
        <v>30.632472985007386</v>
      </c>
      <c r="D54" s="4">
        <f t="shared" si="1"/>
        <v>0.23860556086839324</v>
      </c>
      <c r="E54" s="5">
        <f t="shared" si="2"/>
        <v>30.63</v>
      </c>
      <c r="F54" t="str">
        <f t="shared" si="3"/>
        <v>&lt;Placemark&gt;&lt;name&gt;30.63,170.5&lt;/name&gt;&lt;Point&gt;&lt;coordinates&gt;170.5,30.63,0&lt;/coordinates&gt;&lt;/Point&gt;&lt;/Placemark&gt;</v>
      </c>
    </row>
    <row r="55" spans="1:6" x14ac:dyDescent="0.35">
      <c r="A55" s="1">
        <f>COUNTA(A$12:A54)-1</f>
        <v>42</v>
      </c>
      <c r="B55" s="3">
        <f t="shared" si="4"/>
        <v>170.75</v>
      </c>
      <c r="C55" s="4">
        <f t="shared" si="0"/>
        <v>30.869431610054093</v>
      </c>
      <c r="D55" s="4">
        <f t="shared" si="1"/>
        <v>0.23695862504670728</v>
      </c>
      <c r="E55" s="5">
        <f t="shared" si="2"/>
        <v>30.87</v>
      </c>
      <c r="F55" t="str">
        <f t="shared" si="3"/>
        <v>&lt;Placemark&gt;&lt;name&gt;30.87,170.75&lt;/name&gt;&lt;Point&gt;&lt;coordinates&gt;170.75,30.87,0&lt;/coordinates&gt;&lt;/Point&gt;&lt;/Placemark&gt;</v>
      </c>
    </row>
    <row r="56" spans="1:6" x14ac:dyDescent="0.35">
      <c r="A56" s="1">
        <f>COUNTA(A$12:A55)-1</f>
        <v>43</v>
      </c>
      <c r="B56" s="3">
        <f t="shared" si="4"/>
        <v>171</v>
      </c>
      <c r="C56" s="4">
        <f t="shared" si="0"/>
        <v>31.10474636585888</v>
      </c>
      <c r="D56" s="4">
        <f t="shared" si="1"/>
        <v>0.23531475580478656</v>
      </c>
      <c r="E56" s="5">
        <f t="shared" si="2"/>
        <v>31.1</v>
      </c>
      <c r="F56" t="str">
        <f t="shared" si="3"/>
        <v>&lt;Placemark&gt;&lt;name&gt;31.1,171&lt;/name&gt;&lt;Point&gt;&lt;coordinates&gt;171,31.1,0&lt;/coordinates&gt;&lt;/Point&gt;&lt;/Placemark&gt;</v>
      </c>
    </row>
    <row r="57" spans="1:6" x14ac:dyDescent="0.35">
      <c r="A57" s="1">
        <f>COUNTA(A$12:A56)-1</f>
        <v>44</v>
      </c>
      <c r="B57" s="3">
        <f t="shared" si="4"/>
        <v>171.25</v>
      </c>
      <c r="C57" s="4">
        <f t="shared" si="0"/>
        <v>31.338420547682155</v>
      </c>
      <c r="D57" s="4">
        <f t="shared" si="1"/>
        <v>0.23367418182327526</v>
      </c>
      <c r="E57" s="5">
        <f t="shared" si="2"/>
        <v>31.34</v>
      </c>
      <c r="F57" t="str">
        <f t="shared" si="3"/>
        <v>&lt;Placemark&gt;&lt;name&gt;31.34,171.25&lt;/name&gt;&lt;Point&gt;&lt;coordinates&gt;171.25,31.34,0&lt;/coordinates&gt;&lt;/Point&gt;&lt;/Placemark&gt;</v>
      </c>
    </row>
    <row r="58" spans="1:6" x14ac:dyDescent="0.35">
      <c r="A58" s="1">
        <f>COUNTA(A$12:A57)-1</f>
        <v>45</v>
      </c>
      <c r="B58" s="3">
        <f t="shared" si="4"/>
        <v>171.5</v>
      </c>
      <c r="C58" s="4">
        <f t="shared" si="0"/>
        <v>31.570457672572658</v>
      </c>
      <c r="D58" s="4">
        <f t="shared" si="1"/>
        <v>0.23203712489050332</v>
      </c>
      <c r="E58" s="5">
        <f t="shared" si="2"/>
        <v>31.57</v>
      </c>
      <c r="F58" t="str">
        <f t="shared" si="3"/>
        <v>&lt;Placemark&gt;&lt;name&gt;31.57,171.5&lt;/name&gt;&lt;Point&gt;&lt;coordinates&gt;171.5,31.57,0&lt;/coordinates&gt;&lt;/Point&gt;&lt;/Placemark&gt;</v>
      </c>
    </row>
    <row r="59" spans="1:6" x14ac:dyDescent="0.35">
      <c r="A59" s="1">
        <f>COUNTA(A$12:A58)-1</f>
        <v>46</v>
      </c>
      <c r="B59" s="3">
        <f t="shared" si="4"/>
        <v>171.75</v>
      </c>
      <c r="C59" s="4">
        <f t="shared" si="0"/>
        <v>31.800861472549649</v>
      </c>
      <c r="D59" s="4">
        <f t="shared" si="1"/>
        <v>0.23040379997699034</v>
      </c>
      <c r="E59" s="5">
        <f t="shared" si="2"/>
        <v>31.8</v>
      </c>
      <c r="F59" t="str">
        <f t="shared" si="3"/>
        <v>&lt;Placemark&gt;&lt;name&gt;31.8,171.75&lt;/name&gt;&lt;Point&gt;&lt;coordinates&gt;171.75,31.8,0&lt;/coordinates&gt;&lt;/Point&gt;&lt;/Placemark&gt;</v>
      </c>
    </row>
    <row r="60" spans="1:6" x14ac:dyDescent="0.35">
      <c r="A60" s="1">
        <f>COUNTA(A$12:A59)-1</f>
        <v>47</v>
      </c>
      <c r="B60" s="3">
        <f t="shared" si="4"/>
        <v>172</v>
      </c>
      <c r="C60" s="4">
        <f t="shared" si="0"/>
        <v>32.029635887862298</v>
      </c>
      <c r="D60" s="4">
        <f t="shared" si="1"/>
        <v>0.22877441531264964</v>
      </c>
      <c r="E60" s="5">
        <f t="shared" si="2"/>
        <v>32.03</v>
      </c>
      <c r="F60" t="str">
        <f t="shared" si="3"/>
        <v>&lt;Placemark&gt;&lt;name&gt;32.03,172&lt;/name&gt;&lt;Point&gt;&lt;coordinates&gt;172,32.03,0&lt;/coordinates&gt;&lt;/Point&gt;&lt;/Placemark&gt;</v>
      </c>
    </row>
    <row r="61" spans="1:6" x14ac:dyDescent="0.35">
      <c r="A61" s="1">
        <f>COUNTA(A$12:A60)-1</f>
        <v>48</v>
      </c>
      <c r="B61" s="3">
        <f t="shared" si="4"/>
        <v>172.25</v>
      </c>
      <c r="C61" s="4">
        <f t="shared" si="0"/>
        <v>32.256785060330003</v>
      </c>
      <c r="D61" s="4">
        <f t="shared" si="1"/>
        <v>0.22714917246770483</v>
      </c>
      <c r="E61" s="5">
        <f t="shared" si="2"/>
        <v>32.26</v>
      </c>
      <c r="F61" t="str">
        <f t="shared" si="3"/>
        <v>&lt;Placemark&gt;&lt;name&gt;32.26,172.25&lt;/name&gt;&lt;Point&gt;&lt;coordinates&gt;172.25,32.26,0&lt;/coordinates&gt;&lt;/Point&gt;&lt;/Placemark&gt;</v>
      </c>
    </row>
    <row r="62" spans="1:6" x14ac:dyDescent="0.35">
      <c r="A62" s="1">
        <f>COUNTA(A$12:A61)-1</f>
        <v>49</v>
      </c>
      <c r="B62" s="3">
        <f t="shared" si="4"/>
        <v>172.5</v>
      </c>
      <c r="C62" s="4">
        <f t="shared" si="0"/>
        <v>32.482313326766224</v>
      </c>
      <c r="D62" s="4">
        <f t="shared" si="1"/>
        <v>0.22552826643622126</v>
      </c>
      <c r="E62" s="5">
        <f t="shared" si="2"/>
        <v>32.479999999999997</v>
      </c>
      <c r="F62" t="str">
        <f t="shared" si="3"/>
        <v>&lt;Placemark&gt;&lt;name&gt;32.48,172.5&lt;/name&gt;&lt;Point&gt;&lt;coordinates&gt;172.5,32.48,0&lt;/coordinates&gt;&lt;/Point&gt;&lt;/Placemark&gt;</v>
      </c>
    </row>
    <row r="63" spans="1:6" x14ac:dyDescent="0.35">
      <c r="A63" s="1">
        <f>COUNTA(A$12:A62)-1</f>
        <v>50</v>
      </c>
      <c r="B63" s="3">
        <f t="shared" si="4"/>
        <v>172.75</v>
      </c>
      <c r="C63" s="4">
        <f t="shared" si="0"/>
        <v>32.70622521248842</v>
      </c>
      <c r="D63" s="4">
        <f t="shared" si="1"/>
        <v>0.22391188572219534</v>
      </c>
      <c r="E63" s="5">
        <f t="shared" si="2"/>
        <v>32.71</v>
      </c>
      <c r="F63" t="str">
        <f t="shared" si="3"/>
        <v>&lt;Placemark&gt;&lt;name&gt;32.71,172.75&lt;/name&gt;&lt;Point&gt;&lt;coordinates&gt;172.75,32.71,0&lt;/coordinates&gt;&lt;/Point&gt;&lt;/Placemark&gt;</v>
      </c>
    </row>
    <row r="64" spans="1:6" x14ac:dyDescent="0.35">
      <c r="A64" s="1">
        <f>COUNTA(A$12:A63)-1</f>
        <v>51</v>
      </c>
      <c r="B64" s="3">
        <f t="shared" si="4"/>
        <v>173</v>
      </c>
      <c r="C64" s="4">
        <f t="shared" si="0"/>
        <v>32.928525424916984</v>
      </c>
      <c r="D64" s="4">
        <f t="shared" si="1"/>
        <v>0.22230021242856424</v>
      </c>
      <c r="E64" s="5">
        <f t="shared" si="2"/>
        <v>32.93</v>
      </c>
      <c r="F64" t="str">
        <f t="shared" si="3"/>
        <v>&lt;Placemark&gt;&lt;name&gt;32.93,173&lt;/name&gt;&lt;Point&gt;&lt;coordinates&gt;173,32.93,0&lt;/coordinates&gt;&lt;/Point&gt;&lt;/Placemark&gt;</v>
      </c>
    </row>
    <row r="65" spans="1:6" x14ac:dyDescent="0.35">
      <c r="A65" s="1">
        <f>COUNTA(A$12:A64)-1</f>
        <v>52</v>
      </c>
      <c r="B65" s="3">
        <f t="shared" si="4"/>
        <v>173.25</v>
      </c>
      <c r="C65" s="4">
        <f t="shared" si="0"/>
        <v>33.149218847264812</v>
      </c>
      <c r="D65" s="4">
        <f t="shared" si="1"/>
        <v>0.22069342234782852</v>
      </c>
      <c r="E65" s="5">
        <f t="shared" si="2"/>
        <v>33.15</v>
      </c>
      <c r="F65" t="str">
        <f t="shared" si="3"/>
        <v>&lt;Placemark&gt;&lt;name&gt;33.15,173.25&lt;/name&gt;&lt;Point&gt;&lt;coordinates&gt;173.25,33.15,0&lt;/coordinates&gt;&lt;/Point&gt;&lt;/Placemark&gt;</v>
      </c>
    </row>
    <row r="66" spans="1:6" x14ac:dyDescent="0.35">
      <c r="A66" s="1">
        <f>COUNTA(A$12:A65)-1</f>
        <v>53</v>
      </c>
      <c r="B66" s="3">
        <f t="shared" si="4"/>
        <v>173.5</v>
      </c>
      <c r="C66" s="4">
        <f t="shared" si="0"/>
        <v>33.368310532320137</v>
      </c>
      <c r="D66" s="4">
        <f t="shared" si="1"/>
        <v>0.21909168505532506</v>
      </c>
      <c r="E66" s="5">
        <f t="shared" si="2"/>
        <v>33.369999999999997</v>
      </c>
      <c r="F66" t="str">
        <f t="shared" si="3"/>
        <v>&lt;Placemark&gt;&lt;name&gt;33.37,173.5&lt;/name&gt;&lt;Point&gt;&lt;coordinates&gt;173.5,33.37,0&lt;/coordinates&gt;&lt;/Point&gt;&lt;/Placemark&gt;</v>
      </c>
    </row>
    <row r="67" spans="1:6" x14ac:dyDescent="0.35">
      <c r="A67" s="1">
        <f>COUNTA(A$12:A66)-1</f>
        <v>54</v>
      </c>
      <c r="B67" s="3">
        <f t="shared" si="4"/>
        <v>173.75</v>
      </c>
      <c r="C67" s="4">
        <f t="shared" si="0"/>
        <v>33.585805696324137</v>
      </c>
      <c r="D67" s="4">
        <f t="shared" si="1"/>
        <v>0.21749516400399926</v>
      </c>
      <c r="E67" s="5">
        <f t="shared" si="2"/>
        <v>33.590000000000003</v>
      </c>
      <c r="F67" t="str">
        <f t="shared" si="3"/>
        <v>&lt;Placemark&gt;&lt;name&gt;33.59,173.75&lt;/name&gt;&lt;Point&gt;&lt;coordinates&gt;173.75,33.59,0&lt;/coordinates&gt;&lt;/Point&gt;&lt;/Placemark&gt;</v>
      </c>
    </row>
    <row r="68" spans="1:6" x14ac:dyDescent="0.35">
      <c r="A68" s="1">
        <f>COUNTA(A$12:A67)-1</f>
        <v>55</v>
      </c>
      <c r="B68" s="3">
        <f t="shared" si="4"/>
        <v>174</v>
      </c>
      <c r="C68" s="4">
        <f t="shared" si="0"/>
        <v>33.801709712944877</v>
      </c>
      <c r="D68" s="4">
        <f t="shared" si="1"/>
        <v>0.21590401662074044</v>
      </c>
      <c r="E68" s="5">
        <f t="shared" si="2"/>
        <v>33.799999999999997</v>
      </c>
      <c r="F68" t="str">
        <f t="shared" si="3"/>
        <v>&lt;Placemark&gt;&lt;name&gt;33.8,174&lt;/name&gt;&lt;Point&gt;&lt;coordinates&gt;174,33.8,0&lt;/coordinates&gt;&lt;/Point&gt;&lt;/Placemark&gt;</v>
      </c>
    </row>
    <row r="69" spans="1:6" x14ac:dyDescent="0.35">
      <c r="A69" s="1">
        <f>COUNTA(A$12:A68)-1</f>
        <v>56</v>
      </c>
      <c r="B69" s="3">
        <f t="shared" si="4"/>
        <v>174.25</v>
      </c>
      <c r="C69" s="4">
        <f t="shared" si="0"/>
        <v>34.016028107349534</v>
      </c>
      <c r="D69" s="4">
        <f t="shared" si="1"/>
        <v>0.21431839440465694</v>
      </c>
      <c r="E69" s="5">
        <f t="shared" si="2"/>
        <v>34.020000000000003</v>
      </c>
      <c r="F69" t="str">
        <f t="shared" si="3"/>
        <v>&lt;Placemark&gt;&lt;name&gt;34.02,174.25&lt;/name&gt;&lt;Point&gt;&lt;coordinates&gt;174.25,34.02,0&lt;/coordinates&gt;&lt;/Point&gt;&lt;/Placemark&gt;</v>
      </c>
    </row>
    <row r="70" spans="1:6" x14ac:dyDescent="0.35">
      <c r="A70" s="1">
        <f>COUNTA(A$12:A69)-1</f>
        <v>57</v>
      </c>
      <c r="B70" s="3">
        <f t="shared" si="4"/>
        <v>174.5</v>
      </c>
      <c r="C70" s="4">
        <f t="shared" si="0"/>
        <v>34.228766550375454</v>
      </c>
      <c r="D70" s="4">
        <f t="shared" si="1"/>
        <v>0.21273844302591982</v>
      </c>
      <c r="E70" s="5">
        <f t="shared" si="2"/>
        <v>34.229999999999997</v>
      </c>
      <c r="F70" t="str">
        <f t="shared" si="3"/>
        <v>&lt;Placemark&gt;&lt;name&gt;34.23,174.5&lt;/name&gt;&lt;Point&gt;&lt;coordinates&gt;174.5,34.23,0&lt;/coordinates&gt;&lt;/Point&gt;&lt;/Placemark&gt;</v>
      </c>
    </row>
    <row r="71" spans="1:6" x14ac:dyDescent="0.35">
      <c r="A71" s="1">
        <f>COUNTA(A$12:A70)-1</f>
        <v>58</v>
      </c>
      <c r="B71" s="3">
        <f t="shared" si="4"/>
        <v>174.75</v>
      </c>
      <c r="C71" s="4">
        <f t="shared" si="0"/>
        <v>34.439930852801922</v>
      </c>
      <c r="D71" s="4">
        <f t="shared" si="1"/>
        <v>0.211164302426468</v>
      </c>
      <c r="E71" s="5">
        <f t="shared" si="2"/>
        <v>34.44</v>
      </c>
      <c r="F71" t="str">
        <f t="shared" si="3"/>
        <v>&lt;Placemark&gt;&lt;name&gt;34.44,174.75&lt;/name&gt;&lt;Point&gt;&lt;coordinates&gt;174.75,34.44,0&lt;/coordinates&gt;&lt;/Point&gt;&lt;/Placemark&gt;</v>
      </c>
    </row>
    <row r="72" spans="1:6" x14ac:dyDescent="0.35">
      <c r="A72" s="1">
        <f>COUNTA(A$12:A71)-1</f>
        <v>59</v>
      </c>
      <c r="B72" s="3">
        <f t="shared" si="4"/>
        <v>175</v>
      </c>
      <c r="C72" s="4">
        <f t="shared" si="0"/>
        <v>34.649526959723119</v>
      </c>
      <c r="D72" s="4">
        <f t="shared" si="1"/>
        <v>0.20959610692119668</v>
      </c>
      <c r="E72" s="5">
        <f t="shared" si="2"/>
        <v>34.65</v>
      </c>
      <c r="F72" t="str">
        <f t="shared" si="3"/>
        <v>&lt;Placemark&gt;&lt;name&gt;34.65,175&lt;/name&gt;&lt;Point&gt;&lt;coordinates&gt;175,34.65,0&lt;/coordinates&gt;&lt;/Point&gt;&lt;/Placemark&gt;</v>
      </c>
    </row>
    <row r="73" spans="1:6" x14ac:dyDescent="0.35">
      <c r="A73" s="1">
        <f>COUNTA(A$12:A72)-1</f>
        <v>60</v>
      </c>
      <c r="B73" s="3">
        <f t="shared" si="4"/>
        <v>175.25</v>
      </c>
      <c r="C73" s="4">
        <f t="shared" si="0"/>
        <v>34.857560945023074</v>
      </c>
      <c r="D73" s="4">
        <f t="shared" si="1"/>
        <v>0.20803398529995576</v>
      </c>
      <c r="E73" s="5">
        <f t="shared" si="2"/>
        <v>34.86</v>
      </c>
      <c r="F73" t="str">
        <f t="shared" si="3"/>
        <v>&lt;Placemark&gt;&lt;name&gt;34.86,175.25&lt;/name&gt;&lt;Point&gt;&lt;coordinates&gt;175.25,34.86,0&lt;/coordinates&gt;&lt;/Point&gt;&lt;/Placemark&gt;</v>
      </c>
    </row>
    <row r="74" spans="1:6" x14ac:dyDescent="0.35">
      <c r="A74" s="1">
        <f>COUNTA(A$12:A73)-1</f>
        <v>61</v>
      </c>
      <c r="B74" s="3">
        <f t="shared" si="4"/>
        <v>175.5</v>
      </c>
      <c r="C74" s="4">
        <f t="shared" si="0"/>
        <v>35.064039005953482</v>
      </c>
      <c r="D74" s="4">
        <f t="shared" si="1"/>
        <v>0.20647806093040799</v>
      </c>
      <c r="E74" s="5">
        <f t="shared" si="2"/>
        <v>35.06</v>
      </c>
      <c r="F74" t="str">
        <f t="shared" si="3"/>
        <v>&lt;Placemark&gt;&lt;name&gt;35.06,175.5&lt;/name&gt;&lt;Point&gt;&lt;coordinates&gt;175.5,35.06,0&lt;/coordinates&gt;&lt;/Point&gt;&lt;/Placemark&gt;</v>
      </c>
    </row>
    <row r="75" spans="1:6" x14ac:dyDescent="0.35">
      <c r="A75" s="1">
        <f>COUNTA(A$12:A74)-1</f>
        <v>62</v>
      </c>
      <c r="B75" s="3">
        <f t="shared" si="4"/>
        <v>175.75</v>
      </c>
      <c r="C75" s="4">
        <f t="shared" si="0"/>
        <v>35.268967457814824</v>
      </c>
      <c r="D75" s="4">
        <f t="shared" si="1"/>
        <v>0.2049284518613419</v>
      </c>
      <c r="E75" s="5">
        <f t="shared" si="2"/>
        <v>35.270000000000003</v>
      </c>
      <c r="F75" t="str">
        <f t="shared" si="3"/>
        <v>&lt;Placemark&gt;&lt;name&gt;35.27,175.75&lt;/name&gt;&lt;Point&gt;&lt;coordinates&gt;175.75,35.27,0&lt;/coordinates&gt;&lt;/Point&gt;&lt;/Placemark&gt;</v>
      </c>
    </row>
    <row r="76" spans="1:6" x14ac:dyDescent="0.35">
      <c r="A76" s="1">
        <f>COUNTA(A$12:A75)-1</f>
        <v>63</v>
      </c>
      <c r="B76" s="3">
        <f t="shared" si="4"/>
        <v>176</v>
      </c>
      <c r="C76" s="4">
        <f t="shared" si="0"/>
        <v>35.472352728740809</v>
      </c>
      <c r="D76" s="4">
        <f t="shared" si="1"/>
        <v>0.20338527092598468</v>
      </c>
      <c r="E76" s="5">
        <f t="shared" si="2"/>
        <v>35.47</v>
      </c>
      <c r="F76" t="str">
        <f t="shared" si="3"/>
        <v>&lt;Placemark&gt;&lt;name&gt;35.47,176&lt;/name&gt;&lt;Point&gt;&lt;coordinates&gt;176,35.47,0&lt;/coordinates&gt;&lt;/Point&gt;&lt;/Placemark&gt;</v>
      </c>
    </row>
    <row r="77" spans="1:6" x14ac:dyDescent="0.35">
      <c r="A77" s="1">
        <f>COUNTA(A$12:A76)-1</f>
        <v>64</v>
      </c>
      <c r="B77" s="3">
        <f t="shared" si="4"/>
        <v>176.25</v>
      </c>
      <c r="C77" s="4">
        <f t="shared" si="0"/>
        <v>35.674201354587019</v>
      </c>
      <c r="D77" s="4">
        <f t="shared" si="1"/>
        <v>0.20184862584621044</v>
      </c>
      <c r="E77" s="5">
        <f t="shared" si="2"/>
        <v>35.67</v>
      </c>
      <c r="F77" t="str">
        <f t="shared" si="3"/>
        <v>&lt;Placemark&gt;&lt;name&gt;35.67,176.25&lt;/name&gt;&lt;Point&gt;&lt;coordinates&gt;176.25,35.67,0&lt;/coordinates&gt;&lt;/Point&gt;&lt;/Placemark&gt;</v>
      </c>
    </row>
    <row r="78" spans="1:6" x14ac:dyDescent="0.35">
      <c r="A78" s="1">
        <f>COUNTA(A$12:A77)-1</f>
        <v>65</v>
      </c>
      <c r="B78" s="3">
        <f t="shared" si="4"/>
        <v>176.5</v>
      </c>
      <c r="C78" s="4">
        <f t="shared" ref="C78:C92" si="5">DEGREES(ATAN($B$7 * SIN(RADIANS(B78)) + $B$8 * COS(RADIANS(B78))))</f>
        <v>35.8745199739231</v>
      </c>
      <c r="D78" s="4">
        <f t="shared" ref="D78:D92" si="6">IF(C77="Lat","",C78-C77)</f>
        <v>0.20031861933608042</v>
      </c>
      <c r="E78" s="5">
        <f t="shared" ref="E78:E92" si="7">ROUND(C78,2)</f>
        <v>35.869999999999997</v>
      </c>
      <c r="F78" t="str">
        <f t="shared" ref="F78:F92" si="8">"&lt;Placemark&gt;&lt;name&gt;"&amp;E78&amp;","&amp;B78&amp;"&lt;/name&gt;&lt;Point&gt;&lt;coordinates&gt;"&amp;B78&amp;","&amp;E78&amp;",0&lt;/coordinates&gt;&lt;/Point&gt;&lt;/Placemark&gt;"</f>
        <v>&lt;Placemark&gt;&lt;name&gt;35.87,176.5&lt;/name&gt;&lt;Point&gt;&lt;coordinates&gt;176.5,35.87,0&lt;/coordinates&gt;&lt;/Point&gt;&lt;/Placemark&gt;</v>
      </c>
    </row>
    <row r="79" spans="1:6" x14ac:dyDescent="0.35">
      <c r="A79" s="1">
        <f>COUNTA(A$12:A78)-1</f>
        <v>66</v>
      </c>
      <c r="B79" s="3">
        <f t="shared" ref="B79:B91" si="9">IF(B78&gt;=180,ROUND(B78,2)+0.25-360,ROUND(B78,2)+0.25)</f>
        <v>176.75</v>
      </c>
      <c r="C79" s="4">
        <f t="shared" si="5"/>
        <v>36.07331532312913</v>
      </c>
      <c r="D79" s="4">
        <f t="shared" si="6"/>
        <v>0.19879534920602993</v>
      </c>
      <c r="E79" s="5">
        <f t="shared" si="7"/>
        <v>36.07</v>
      </c>
      <c r="F79" t="str">
        <f t="shared" si="8"/>
        <v>&lt;Placemark&gt;&lt;name&gt;36.07,176.75&lt;/name&gt;&lt;Point&gt;&lt;coordinates&gt;176.75,36.07,0&lt;/coordinates&gt;&lt;/Point&gt;&lt;/Placemark&gt;</v>
      </c>
    </row>
    <row r="80" spans="1:6" x14ac:dyDescent="0.35">
      <c r="A80" s="1">
        <f>COUNTA(A$12:A79)-1</f>
        <v>67</v>
      </c>
      <c r="B80" s="3">
        <f t="shared" si="9"/>
        <v>177</v>
      </c>
      <c r="C80" s="4">
        <f t="shared" si="5"/>
        <v>36.270594231595673</v>
      </c>
      <c r="D80" s="4">
        <f t="shared" si="6"/>
        <v>0.19727890846654361</v>
      </c>
      <c r="E80" s="5">
        <f t="shared" si="7"/>
        <v>36.270000000000003</v>
      </c>
      <c r="F80" t="str">
        <f t="shared" si="8"/>
        <v>&lt;Placemark&gt;&lt;name&gt;36.27,177&lt;/name&gt;&lt;Point&gt;&lt;coordinates&gt;177,36.27,0&lt;/coordinates&gt;&lt;/Point&gt;&lt;/Placemark&gt;</v>
      </c>
    </row>
    <row r="81" spans="1:6" x14ac:dyDescent="0.35">
      <c r="A81" s="1">
        <f>COUNTA(A$12:A80)-1</f>
        <v>68</v>
      </c>
      <c r="B81" s="3">
        <f t="shared" si="9"/>
        <v>177.25</v>
      </c>
      <c r="C81" s="4">
        <f t="shared" si="5"/>
        <v>36.466363617027262</v>
      </c>
      <c r="D81" s="4">
        <f t="shared" si="6"/>
        <v>0.19576938543158917</v>
      </c>
      <c r="E81" s="5">
        <f t="shared" si="7"/>
        <v>36.47</v>
      </c>
      <c r="F81" t="str">
        <f t="shared" si="8"/>
        <v>&lt;Placemark&gt;&lt;name&gt;36.47,177.25&lt;/name&gt;&lt;Point&gt;&lt;coordinates&gt;177.25,36.47,0&lt;/coordinates&gt;&lt;/Point&gt;&lt;/Placemark&gt;</v>
      </c>
    </row>
    <row r="82" spans="1:6" x14ac:dyDescent="0.35">
      <c r="A82" s="1">
        <f>COUNTA(A$12:A81)-1</f>
        <v>69</v>
      </c>
      <c r="B82" s="3">
        <f t="shared" si="9"/>
        <v>177.5</v>
      </c>
      <c r="C82" s="4">
        <f t="shared" si="5"/>
        <v>36.660630480849278</v>
      </c>
      <c r="D82" s="4">
        <f t="shared" si="6"/>
        <v>0.19426686382201552</v>
      </c>
      <c r="E82" s="5">
        <f t="shared" si="7"/>
        <v>36.659999999999997</v>
      </c>
      <c r="F82" t="str">
        <f t="shared" si="8"/>
        <v>&lt;Placemark&gt;&lt;name&gt;36.66,177.5&lt;/name&gt;&lt;Point&gt;&lt;coordinates&gt;177.5,36.66,0&lt;/coordinates&gt;&lt;/Point&gt;&lt;/Placemark&gt;</v>
      </c>
    </row>
    <row r="83" spans="1:6" x14ac:dyDescent="0.35">
      <c r="A83" s="1">
        <f>COUNTA(A$12:A82)-1</f>
        <v>70</v>
      </c>
      <c r="B83" s="3">
        <f t="shared" si="9"/>
        <v>177.75</v>
      </c>
      <c r="C83" s="4">
        <f t="shared" si="5"/>
        <v>36.853401903717355</v>
      </c>
      <c r="D83" s="4">
        <f t="shared" si="6"/>
        <v>0.19277142286807702</v>
      </c>
      <c r="E83" s="5">
        <f t="shared" si="7"/>
        <v>36.85</v>
      </c>
      <c r="F83" t="str">
        <f t="shared" si="8"/>
        <v>&lt;Placemark&gt;&lt;name&gt;36.85,177.75&lt;/name&gt;&lt;Point&gt;&lt;coordinates&gt;177.75,36.85,0&lt;/coordinates&gt;&lt;/Point&gt;&lt;/Placemark&gt;</v>
      </c>
    </row>
    <row r="84" spans="1:6" x14ac:dyDescent="0.35">
      <c r="A84" s="1">
        <f>COUNTA(A$12:A83)-1</f>
        <v>71</v>
      </c>
      <c r="B84" s="3">
        <f t="shared" si="9"/>
        <v>178</v>
      </c>
      <c r="C84" s="4">
        <f t="shared" si="5"/>
        <v>37.044685041129171</v>
      </c>
      <c r="D84" s="4">
        <f t="shared" si="6"/>
        <v>0.19128313741181557</v>
      </c>
      <c r="E84" s="5">
        <f t="shared" si="7"/>
        <v>37.04</v>
      </c>
      <c r="F84" t="str">
        <f t="shared" si="8"/>
        <v>&lt;Placemark&gt;&lt;name&gt;37.04,178&lt;/name&gt;&lt;Point&gt;&lt;coordinates&gt;178,37.04,0&lt;/coordinates&gt;&lt;/Point&gt;&lt;/Placemark&gt;</v>
      </c>
    </row>
    <row r="85" spans="1:6" x14ac:dyDescent="0.35">
      <c r="A85" s="1">
        <f>COUNTA(A$12:A84)-1</f>
        <v>72</v>
      </c>
      <c r="B85" s="3">
        <f t="shared" si="9"/>
        <v>178.25</v>
      </c>
      <c r="C85" s="4">
        <f t="shared" si="5"/>
        <v>37.234487119137825</v>
      </c>
      <c r="D85" s="4">
        <f t="shared" si="6"/>
        <v>0.18980207800865401</v>
      </c>
      <c r="E85" s="5">
        <f t="shared" si="7"/>
        <v>37.229999999999997</v>
      </c>
      <c r="F85" t="str">
        <f t="shared" si="8"/>
        <v>&lt;Placemark&gt;&lt;name&gt;37.23,178.25&lt;/name&gt;&lt;Point&gt;&lt;coordinates&gt;178.25,37.23,0&lt;/coordinates&gt;&lt;/Point&gt;&lt;/Placemark&gt;</v>
      </c>
    </row>
    <row r="86" spans="1:6" x14ac:dyDescent="0.35">
      <c r="A86" s="1">
        <f>COUNTA(A$12:A85)-1</f>
        <v>73</v>
      </c>
      <c r="B86" s="3">
        <f t="shared" si="9"/>
        <v>178.5</v>
      </c>
      <c r="C86" s="4">
        <f t="shared" si="5"/>
        <v>37.422815430166018</v>
      </c>
      <c r="D86" s="4">
        <f t="shared" si="6"/>
        <v>0.1883283110281937</v>
      </c>
      <c r="E86" s="5">
        <f t="shared" si="7"/>
        <v>37.42</v>
      </c>
      <c r="F86" t="str">
        <f t="shared" si="8"/>
        <v>&lt;Placemark&gt;&lt;name&gt;37.42,178.5&lt;/name&gt;&lt;Point&gt;&lt;coordinates&gt;178.5,37.42,0&lt;/coordinates&gt;&lt;/Point&gt;&lt;/Placemark&gt;</v>
      </c>
    </row>
    <row r="87" spans="1:6" x14ac:dyDescent="0.35">
      <c r="A87" s="1">
        <f>COUNTA(A$12:A86)-1</f>
        <v>74</v>
      </c>
      <c r="B87" s="3">
        <f t="shared" si="9"/>
        <v>178.75</v>
      </c>
      <c r="C87" s="4">
        <f t="shared" si="5"/>
        <v>37.609677328920561</v>
      </c>
      <c r="D87" s="4">
        <f t="shared" si="6"/>
        <v>0.18686189875454318</v>
      </c>
      <c r="E87" s="5">
        <f t="shared" si="7"/>
        <v>37.61</v>
      </c>
      <c r="F87" t="str">
        <f t="shared" si="8"/>
        <v>&lt;Placemark&gt;&lt;name&gt;37.61,178.75&lt;/name&gt;&lt;Point&gt;&lt;coordinates&gt;178.75,37.61,0&lt;/coordinates&gt;&lt;/Point&gt;&lt;/Placemark&gt;</v>
      </c>
    </row>
    <row r="88" spans="1:6" x14ac:dyDescent="0.35">
      <c r="A88" s="1">
        <f>COUNTA(A$12:A87)-1</f>
        <v>75</v>
      </c>
      <c r="B88" s="3">
        <f t="shared" si="9"/>
        <v>179</v>
      </c>
      <c r="C88" s="4">
        <f t="shared" si="5"/>
        <v>37.795080228406015</v>
      </c>
      <c r="D88" s="4">
        <f t="shared" si="6"/>
        <v>0.18540289948545308</v>
      </c>
      <c r="E88" s="5">
        <f t="shared" si="7"/>
        <v>37.799999999999997</v>
      </c>
      <c r="F88" t="str">
        <f t="shared" si="8"/>
        <v>&lt;Placemark&gt;&lt;name&gt;37.8,179&lt;/name&gt;&lt;Point&gt;&lt;coordinates&gt;179,37.8,0&lt;/coordinates&gt;&lt;/Point&gt;&lt;/Placemark&gt;</v>
      </c>
    </row>
    <row r="89" spans="1:6" x14ac:dyDescent="0.35">
      <c r="A89" s="1">
        <f>COUNTA(A$12:A88)-1</f>
        <v>76</v>
      </c>
      <c r="B89" s="3">
        <f t="shared" si="9"/>
        <v>179.25</v>
      </c>
      <c r="C89" s="4">
        <f t="shared" si="5"/>
        <v>37.979031596036812</v>
      </c>
      <c r="D89" s="4">
        <f t="shared" si="6"/>
        <v>0.18395136763079734</v>
      </c>
      <c r="E89" s="5">
        <f t="shared" si="7"/>
        <v>37.979999999999997</v>
      </c>
      <c r="F89" t="str">
        <f t="shared" si="8"/>
        <v>&lt;Placemark&gt;&lt;name&gt;37.98,179.25&lt;/name&gt;&lt;Point&gt;&lt;coordinates&gt;179.25,37.98,0&lt;/coordinates&gt;&lt;/Point&gt;&lt;/Placemark&gt;</v>
      </c>
    </row>
    <row r="90" spans="1:6" x14ac:dyDescent="0.35">
      <c r="A90" s="1">
        <f>COUNTA(A$12:A89)-1</f>
        <v>77</v>
      </c>
      <c r="B90" s="3">
        <f t="shared" si="9"/>
        <v>179.5</v>
      </c>
      <c r="C90" s="4">
        <f t="shared" si="5"/>
        <v>38.161538949846964</v>
      </c>
      <c r="D90" s="4">
        <f t="shared" si="6"/>
        <v>0.18250735381015204</v>
      </c>
      <c r="E90" s="5">
        <f t="shared" si="7"/>
        <v>38.159999999999997</v>
      </c>
      <c r="F90" t="str">
        <f t="shared" si="8"/>
        <v>&lt;Placemark&gt;&lt;name&gt;38.16,179.5&lt;/name&gt;&lt;Point&gt;&lt;coordinates&gt;179.5,38.16,0&lt;/coordinates&gt;&lt;/Point&gt;&lt;/Placemark&gt;</v>
      </c>
    </row>
    <row r="91" spans="1:6" x14ac:dyDescent="0.35">
      <c r="A91" s="1">
        <f>COUNTA(A$12:A90)-1</f>
        <v>78</v>
      </c>
      <c r="B91" s="3">
        <f t="shared" si="9"/>
        <v>179.75</v>
      </c>
      <c r="C91" s="4">
        <f t="shared" si="5"/>
        <v>38.342609854795832</v>
      </c>
      <c r="D91" s="4">
        <f t="shared" si="6"/>
        <v>0.18107090494886791</v>
      </c>
      <c r="E91" s="5">
        <f t="shared" si="7"/>
        <v>38.340000000000003</v>
      </c>
      <c r="F91" t="str">
        <f t="shared" si="8"/>
        <v>&lt;Placemark&gt;&lt;name&gt;38.34,179.75&lt;/name&gt;&lt;Point&gt;&lt;coordinates&gt;179.75,38.34,0&lt;/coordinates&gt;&lt;/Point&gt;&lt;/Placemark&gt;</v>
      </c>
    </row>
    <row r="92" spans="1:6" x14ac:dyDescent="0.35">
      <c r="A92" s="6">
        <f>COUNTA(A$12:A91)-1</f>
        <v>79</v>
      </c>
      <c r="B92" s="7">
        <v>180</v>
      </c>
      <c r="C92" s="8">
        <f t="shared" si="5"/>
        <v>38.522251919169612</v>
      </c>
      <c r="D92" s="8">
        <f t="shared" si="6"/>
        <v>0.17964206437378039</v>
      </c>
      <c r="E92" s="10">
        <f t="shared" si="7"/>
        <v>38.520000000000003</v>
      </c>
      <c r="F92" t="str">
        <f t="shared" si="8"/>
        <v>&lt;Placemark&gt;&lt;name&gt;38.52,180&lt;/name&gt;&lt;Point&gt;&lt;coordinates&gt;180,38.52,0&lt;/coordinates&gt;&lt;/Point&gt;&lt;/Placemark&gt;</v>
      </c>
    </row>
  </sheetData>
  <pageMargins left="0.7" right="0.7" top="0.75" bottom="0.75" header="0.3" footer="0.3"/>
  <pageSetup paperSize="9" orientation="portrait" r:id="rId1"/>
  <headerFooter>
    <oddFooter>&amp;C_x000D_&amp;1#&amp;"Aptos"&amp;9&amp;K00AEFF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75F7-ECD3-4918-AB6A-B13A2670AB37}">
  <dimension ref="A1:F30"/>
  <sheetViews>
    <sheetView workbookViewId="0"/>
  </sheetViews>
  <sheetFormatPr defaultRowHeight="14.5" x14ac:dyDescent="0.35"/>
  <cols>
    <col min="1" max="1" width="11.54296875" style="1" bestFit="1" customWidth="1"/>
    <col min="2" max="2" width="10.08984375" style="1" bestFit="1" customWidth="1"/>
    <col min="3" max="3" width="9.08984375" style="1" bestFit="1" customWidth="1"/>
    <col min="4" max="4" width="7.453125" style="1" bestFit="1" customWidth="1"/>
    <col min="5" max="5" width="10.453125" style="1" bestFit="1" customWidth="1"/>
  </cols>
  <sheetData>
    <row r="1" spans="1:6" s="9" customFormat="1" x14ac:dyDescent="0.35">
      <c r="A1" s="9" t="s">
        <v>15</v>
      </c>
      <c r="B1" t="s">
        <v>18</v>
      </c>
      <c r="C1"/>
      <c r="D1"/>
      <c r="E1"/>
    </row>
    <row r="2" spans="1:6" x14ac:dyDescent="0.35">
      <c r="A2" s="9" t="s">
        <v>0</v>
      </c>
      <c r="B2" s="1">
        <v>-19.5</v>
      </c>
    </row>
    <row r="3" spans="1:6" x14ac:dyDescent="0.35">
      <c r="A3" s="9" t="s">
        <v>1</v>
      </c>
      <c r="B3" s="1">
        <v>175.75</v>
      </c>
    </row>
    <row r="4" spans="1:6" x14ac:dyDescent="0.35">
      <c r="A4" s="9" t="s">
        <v>2</v>
      </c>
      <c r="B4" s="1">
        <v>-19.5</v>
      </c>
    </row>
    <row r="5" spans="1:6" x14ac:dyDescent="0.35">
      <c r="A5" s="9" t="s">
        <v>3</v>
      </c>
      <c r="B5" s="1">
        <v>-139.75</v>
      </c>
    </row>
    <row r="6" spans="1:6" x14ac:dyDescent="0.35">
      <c r="A6" s="9" t="s">
        <v>4</v>
      </c>
      <c r="B6" s="1" t="str">
        <f>IF(AND(B2=-B4, MOD(ABS(B3-B5), 360)=180), "ERROR: Antipodal Points", "Valid")</f>
        <v>Valid</v>
      </c>
    </row>
    <row r="7" spans="1:6" x14ac:dyDescent="0.35">
      <c r="A7" s="9" t="s">
        <v>5</v>
      </c>
      <c r="B7" s="2">
        <f>(TAN(RADIANS(B2))*COS(RADIANS(B5))-TAN(RADIANS(B4))*COS(RADIANS(B3)))/SIN(RADIANS(B3)-RADIANS(B5))</f>
        <v>0.11823216429835065</v>
      </c>
    </row>
    <row r="8" spans="1:6" x14ac:dyDescent="0.35">
      <c r="A8" s="9" t="s">
        <v>6</v>
      </c>
      <c r="B8" s="2">
        <f>(SIN(RADIANS(B3))*TAN(RADIANS(B4))-SIN(RADIANS(B5))*TAN(RADIANS(B2)))/SIN(RADIANS(B3)-RADIANS(B5))</f>
        <v>0.36388118562563332</v>
      </c>
    </row>
    <row r="9" spans="1:6" x14ac:dyDescent="0.35">
      <c r="A9" s="9" t="s">
        <v>7</v>
      </c>
      <c r="B9" s="1">
        <f>ROUNDUP(DEGREES(ATAN(SQRT(B7^2 + B8^2))),3)</f>
        <v>20.938000000000002</v>
      </c>
    </row>
    <row r="10" spans="1:6" x14ac:dyDescent="0.35">
      <c r="A10" s="9" t="s">
        <v>8</v>
      </c>
      <c r="B10" s="1" t="b">
        <f>OR(MOD(B3-B5, 180)=0, ABS(B2)=90, ABS(B4)=90)</f>
        <v>0</v>
      </c>
    </row>
    <row r="11" spans="1:6" x14ac:dyDescent="0.35">
      <c r="A11" s="9"/>
    </row>
    <row r="12" spans="1:6" s="9" customFormat="1" x14ac:dyDescent="0.35">
      <c r="A12" s="9" t="s">
        <v>10</v>
      </c>
      <c r="B12" s="9" t="s">
        <v>9</v>
      </c>
      <c r="C12" s="9" t="s">
        <v>11</v>
      </c>
      <c r="D12" s="9" t="s">
        <v>12</v>
      </c>
      <c r="E12" s="9" t="s">
        <v>13</v>
      </c>
      <c r="F12" s="9" t="s">
        <v>14</v>
      </c>
    </row>
    <row r="13" spans="1:6" x14ac:dyDescent="0.35">
      <c r="A13" s="6">
        <f>COUNTA(A$12:A12)-1</f>
        <v>0</v>
      </c>
      <c r="B13" s="7">
        <v>180</v>
      </c>
      <c r="C13" s="8">
        <f t="shared" ref="C13:C30" si="0">DEGREES(ATAN($B$7 * SIN(RADIANS(B13)) + $B$8 * COS(RADIANS(B13))))</f>
        <v>-19.995494593432422</v>
      </c>
      <c r="D13" s="8" t="str">
        <f t="shared" ref="D13:D30" si="1">IF(C12="Lat","",C13-C12)</f>
        <v/>
      </c>
      <c r="E13" s="10">
        <f t="shared" ref="E13:E30" si="2">ROUND(C13,2)</f>
        <v>-20</v>
      </c>
      <c r="F13" t="str">
        <f t="shared" ref="F13:F30" si="3">"&lt;Placemark&gt;&lt;name&gt;"&amp;E13&amp;","&amp;B13&amp;"&lt;/name&gt;&lt;Point&gt;&lt;coordinates&gt;"&amp;B13&amp;","&amp;E13&amp;",0&lt;/coordinates&gt;&lt;/Point&gt;&lt;/Placemark&gt;"</f>
        <v>&lt;Placemark&gt;&lt;name&gt;-20,180&lt;/name&gt;&lt;Point&gt;&lt;coordinates&gt;180,-20,0&lt;/coordinates&gt;&lt;/Point&gt;&lt;/Placemark&gt;</v>
      </c>
    </row>
    <row r="14" spans="1:6" x14ac:dyDescent="0.35">
      <c r="A14" s="1">
        <f>COUNTA(A$12:A13)-1</f>
        <v>1</v>
      </c>
      <c r="B14" s="3">
        <f>ROUND(B13,2)-0.25</f>
        <v>179.75</v>
      </c>
      <c r="C14" s="4">
        <f t="shared" si="0"/>
        <v>-19.969213131188994</v>
      </c>
      <c r="D14" s="4">
        <f t="shared" si="1"/>
        <v>2.6281462243428422E-2</v>
      </c>
      <c r="E14" s="5">
        <f t="shared" si="2"/>
        <v>-19.97</v>
      </c>
      <c r="F14" t="str">
        <f t="shared" si="3"/>
        <v>&lt;Placemark&gt;&lt;name&gt;-19.97,179.75&lt;/name&gt;&lt;Point&gt;&lt;coordinates&gt;179.75,-19.97,0&lt;/coordinates&gt;&lt;/Point&gt;&lt;/Placemark&gt;</v>
      </c>
    </row>
    <row r="15" spans="1:6" x14ac:dyDescent="0.35">
      <c r="A15" s="1">
        <f>COUNTA(A$12:A14)-1</f>
        <v>2</v>
      </c>
      <c r="B15" s="3">
        <f t="shared" ref="B15:B30" si="4">ROUND(B14,2)-0.25</f>
        <v>179.5</v>
      </c>
      <c r="C15" s="4">
        <f t="shared" si="0"/>
        <v>-19.942572651227007</v>
      </c>
      <c r="D15" s="4">
        <f t="shared" si="1"/>
        <v>2.664047996198704E-2</v>
      </c>
      <c r="E15" s="5">
        <f t="shared" si="2"/>
        <v>-19.940000000000001</v>
      </c>
      <c r="F15" t="str">
        <f t="shared" si="3"/>
        <v>&lt;Placemark&gt;&lt;name&gt;-19.94,179.5&lt;/name&gt;&lt;Point&gt;&lt;coordinates&gt;179.5,-19.94,0&lt;/coordinates&gt;&lt;/Point&gt;&lt;/Placemark&gt;</v>
      </c>
    </row>
    <row r="16" spans="1:6" x14ac:dyDescent="0.35">
      <c r="A16" s="1">
        <f>COUNTA(A$12:A15)-1</f>
        <v>3</v>
      </c>
      <c r="B16" s="3">
        <f t="shared" si="4"/>
        <v>179.25</v>
      </c>
      <c r="C16" s="4">
        <f t="shared" si="0"/>
        <v>-19.915573313230141</v>
      </c>
      <c r="D16" s="4">
        <f t="shared" si="1"/>
        <v>2.6999337996866046E-2</v>
      </c>
      <c r="E16" s="5">
        <f t="shared" si="2"/>
        <v>-19.920000000000002</v>
      </c>
      <c r="F16" t="str">
        <f t="shared" si="3"/>
        <v>&lt;Placemark&gt;&lt;name&gt;-19.92,179.25&lt;/name&gt;&lt;Point&gt;&lt;coordinates&gt;179.25,-19.92,0&lt;/coordinates&gt;&lt;/Point&gt;&lt;/Placemark&gt;</v>
      </c>
    </row>
    <row r="17" spans="1:6" x14ac:dyDescent="0.35">
      <c r="A17" s="1">
        <f>COUNTA(A$12:A16)-1</f>
        <v>4</v>
      </c>
      <c r="B17" s="3">
        <f t="shared" si="4"/>
        <v>179</v>
      </c>
      <c r="C17" s="4">
        <f t="shared" si="0"/>
        <v>-19.888215280164065</v>
      </c>
      <c r="D17" s="4">
        <f t="shared" si="1"/>
        <v>2.7358033066075649E-2</v>
      </c>
      <c r="E17" s="5">
        <f t="shared" si="2"/>
        <v>-19.89</v>
      </c>
      <c r="F17" t="str">
        <f t="shared" si="3"/>
        <v>&lt;Placemark&gt;&lt;name&gt;-19.89,179&lt;/name&gt;&lt;Point&gt;&lt;coordinates&gt;179,-19.89,0&lt;/coordinates&gt;&lt;/Point&gt;&lt;/Placemark&gt;</v>
      </c>
    </row>
    <row r="18" spans="1:6" x14ac:dyDescent="0.35">
      <c r="A18" s="1">
        <f>COUNTA(A$12:A17)-1</f>
        <v>5</v>
      </c>
      <c r="B18" s="3">
        <f t="shared" si="4"/>
        <v>178.75</v>
      </c>
      <c r="C18" s="4">
        <f t="shared" si="0"/>
        <v>-19.860498718320393</v>
      </c>
      <c r="D18" s="4">
        <f t="shared" si="1"/>
        <v>2.7716561843671883E-2</v>
      </c>
      <c r="E18" s="5">
        <f t="shared" si="2"/>
        <v>-19.86</v>
      </c>
      <c r="F18" t="str">
        <f t="shared" si="3"/>
        <v>&lt;Placemark&gt;&lt;name&gt;-19.86,178.75&lt;/name&gt;&lt;Point&gt;&lt;coordinates&gt;178.75,-19.86,0&lt;/coordinates&gt;&lt;/Point&gt;&lt;/Placemark&gt;</v>
      </c>
    </row>
    <row r="19" spans="1:6" x14ac:dyDescent="0.35">
      <c r="A19" s="1">
        <f>COUNTA(A$12:A18)-1</f>
        <v>6</v>
      </c>
      <c r="B19" s="3">
        <f t="shared" si="4"/>
        <v>178.5</v>
      </c>
      <c r="C19" s="4">
        <f t="shared" si="0"/>
        <v>-19.832423797361191</v>
      </c>
      <c r="D19" s="4">
        <f t="shared" si="1"/>
        <v>2.8074920959202387E-2</v>
      </c>
      <c r="E19" s="5">
        <f t="shared" si="2"/>
        <v>-19.829999999999998</v>
      </c>
      <c r="F19" t="str">
        <f t="shared" si="3"/>
        <v>&lt;Placemark&gt;&lt;name&gt;-19.83,178.5&lt;/name&gt;&lt;Point&gt;&lt;coordinates&gt;178.5,-19.83,0&lt;/coordinates&gt;&lt;/Point&gt;&lt;/Placemark&gt;</v>
      </c>
    </row>
    <row r="20" spans="1:6" x14ac:dyDescent="0.35">
      <c r="A20" s="1">
        <f>COUNTA(A$12:A19)-1</f>
        <v>7</v>
      </c>
      <c r="B20" s="3">
        <f t="shared" si="4"/>
        <v>178.25</v>
      </c>
      <c r="C20" s="4">
        <f t="shared" si="0"/>
        <v>-19.803990690363964</v>
      </c>
      <c r="D20" s="4">
        <f t="shared" si="1"/>
        <v>2.8433106997226787E-2</v>
      </c>
      <c r="E20" s="5">
        <f t="shared" si="2"/>
        <v>-19.8</v>
      </c>
      <c r="F20" t="str">
        <f t="shared" si="3"/>
        <v>&lt;Placemark&gt;&lt;name&gt;-19.8,178.25&lt;/name&gt;&lt;Point&gt;&lt;coordinates&gt;178.25,-19.8,0&lt;/coordinates&gt;&lt;/Point&gt;&lt;/Placemark&gt;</v>
      </c>
    </row>
    <row r="21" spans="1:6" x14ac:dyDescent="0.35">
      <c r="A21" s="1">
        <f>COUNTA(A$12:A20)-1</f>
        <v>8</v>
      </c>
      <c r="B21" s="3">
        <f t="shared" si="4"/>
        <v>178</v>
      </c>
      <c r="C21" s="4">
        <f t="shared" si="0"/>
        <v>-19.775199573867159</v>
      </c>
      <c r="D21" s="4">
        <f t="shared" si="1"/>
        <v>2.8791116496805103E-2</v>
      </c>
      <c r="E21" s="5">
        <f t="shared" si="2"/>
        <v>-19.78</v>
      </c>
      <c r="F21" t="str">
        <f t="shared" si="3"/>
        <v>&lt;Placemark&gt;&lt;name&gt;-19.78,178&lt;/name&gt;&lt;Point&gt;&lt;coordinates&gt;178,-19.78,0&lt;/coordinates&gt;&lt;/Point&gt;&lt;/Placemark&gt;</v>
      </c>
    </row>
    <row r="22" spans="1:6" x14ac:dyDescent="0.35">
      <c r="A22" s="1">
        <f>COUNTA(A$12:A21)-1</f>
        <v>9</v>
      </c>
      <c r="B22" s="3">
        <f t="shared" si="4"/>
        <v>177.75</v>
      </c>
      <c r="C22" s="4">
        <f t="shared" si="0"/>
        <v>-19.746050627916176</v>
      </c>
      <c r="D22" s="4">
        <f t="shared" si="1"/>
        <v>2.9148945950982608E-2</v>
      </c>
      <c r="E22" s="5">
        <f t="shared" si="2"/>
        <v>-19.75</v>
      </c>
      <c r="F22" t="str">
        <f t="shared" si="3"/>
        <v>&lt;Placemark&gt;&lt;name&gt;-19.75,177.75&lt;/name&gt;&lt;Point&gt;&lt;coordinates&gt;177.75,-19.75,0&lt;/coordinates&gt;&lt;/Point&gt;&lt;/Placemark&gt;</v>
      </c>
    </row>
    <row r="23" spans="1:6" x14ac:dyDescent="0.35">
      <c r="A23" s="1">
        <f>COUNTA(A$12:A22)-1</f>
        <v>10</v>
      </c>
      <c r="B23" s="3">
        <f t="shared" si="4"/>
        <v>177.5</v>
      </c>
      <c r="C23" s="4">
        <f t="shared" si="0"/>
        <v>-19.716544036109919</v>
      </c>
      <c r="D23" s="4">
        <f t="shared" si="1"/>
        <v>2.9506591806256921E-2</v>
      </c>
      <c r="E23" s="5">
        <f t="shared" si="2"/>
        <v>-19.72</v>
      </c>
      <c r="F23" t="str">
        <f t="shared" si="3"/>
        <v>&lt;Placemark&gt;&lt;name&gt;-19.72,177.5&lt;/name&gt;&lt;Point&gt;&lt;coordinates&gt;177.5,-19.72,0&lt;/coordinates&gt;&lt;/Point&gt;&lt;/Placemark&gt;</v>
      </c>
    </row>
    <row r="24" spans="1:6" x14ac:dyDescent="0.35">
      <c r="A24" s="1">
        <f>COUNTA(A$12:A23)-1</f>
        <v>11</v>
      </c>
      <c r="B24" s="3">
        <f t="shared" si="4"/>
        <v>177.25</v>
      </c>
      <c r="C24" s="4">
        <f t="shared" si="0"/>
        <v>-19.686679985647739</v>
      </c>
      <c r="D24" s="4">
        <f t="shared" si="1"/>
        <v>2.9864050462180103E-2</v>
      </c>
      <c r="E24" s="5">
        <f t="shared" si="2"/>
        <v>-19.690000000000001</v>
      </c>
      <c r="F24" t="str">
        <f t="shared" si="3"/>
        <v>&lt;Placemark&gt;&lt;name&gt;-19.69,177.25&lt;/name&gt;&lt;Point&gt;&lt;coordinates&gt;177.25,-19.69,0&lt;/coordinates&gt;&lt;/Point&gt;&lt;/Placemark&gt;</v>
      </c>
    </row>
    <row r="25" spans="1:6" x14ac:dyDescent="0.35">
      <c r="A25" s="1">
        <f>COUNTA(A$12:A24)-1</f>
        <v>12</v>
      </c>
      <c r="B25" s="3">
        <f t="shared" si="4"/>
        <v>177</v>
      </c>
      <c r="C25" s="4">
        <f t="shared" si="0"/>
        <v>-19.656458667377013</v>
      </c>
      <c r="D25" s="4">
        <f t="shared" si="1"/>
        <v>3.0221318270726272E-2</v>
      </c>
      <c r="E25" s="5">
        <f t="shared" si="2"/>
        <v>-19.66</v>
      </c>
      <c r="F25" t="str">
        <f t="shared" si="3"/>
        <v>&lt;Placemark&gt;&lt;name&gt;-19.66,177&lt;/name&gt;&lt;Point&gt;&lt;coordinates&gt;177,-19.66,0&lt;/coordinates&gt;&lt;/Point&gt;&lt;/Placemark&gt;</v>
      </c>
    </row>
    <row r="26" spans="1:6" x14ac:dyDescent="0.35">
      <c r="A26" s="1">
        <f>COUNTA(A$12:A25)-1</f>
        <v>13</v>
      </c>
      <c r="B26" s="3">
        <f t="shared" si="4"/>
        <v>176.75</v>
      </c>
      <c r="C26" s="4">
        <f t="shared" si="0"/>
        <v>-19.625880275841084</v>
      </c>
      <c r="D26" s="4">
        <f t="shared" si="1"/>
        <v>3.0578391535929228E-2</v>
      </c>
      <c r="E26" s="5">
        <f t="shared" si="2"/>
        <v>-19.63</v>
      </c>
      <c r="F26" t="str">
        <f t="shared" si="3"/>
        <v>&lt;Placemark&gt;&lt;name&gt;-19.63,176.75&lt;/name&gt;&lt;Point&gt;&lt;coordinates&gt;176.75,-19.63,0&lt;/coordinates&gt;&lt;/Point&gt;&lt;/Placemark&gt;</v>
      </c>
    </row>
    <row r="27" spans="1:6" x14ac:dyDescent="0.35">
      <c r="A27" s="1">
        <f>COUNTA(A$12:A26)-1</f>
        <v>14</v>
      </c>
      <c r="B27" s="3">
        <f t="shared" si="4"/>
        <v>176.5</v>
      </c>
      <c r="C27" s="4">
        <f t="shared" si="0"/>
        <v>-19.594945009327766</v>
      </c>
      <c r="D27" s="4">
        <f t="shared" si="1"/>
        <v>3.0935266513317572E-2</v>
      </c>
      <c r="E27" s="5">
        <f t="shared" si="2"/>
        <v>-19.59</v>
      </c>
      <c r="F27" t="str">
        <f t="shared" si="3"/>
        <v>&lt;Placemark&gt;&lt;name&gt;-19.59,176.5&lt;/name&gt;&lt;Point&gt;&lt;coordinates&gt;176.5,-19.59,0&lt;/coordinates&gt;&lt;/Point&gt;&lt;/Placemark&gt;</v>
      </c>
    </row>
    <row r="28" spans="1:6" x14ac:dyDescent="0.35">
      <c r="A28" s="1">
        <f>COUNTA(A$12:A27)-1</f>
        <v>15</v>
      </c>
      <c r="B28" s="3">
        <f t="shared" si="4"/>
        <v>176.25</v>
      </c>
      <c r="C28" s="4">
        <f t="shared" si="0"/>
        <v>-19.563653069918288</v>
      </c>
      <c r="D28" s="4">
        <f t="shared" si="1"/>
        <v>3.129193940947772E-2</v>
      </c>
      <c r="E28" s="5">
        <f t="shared" si="2"/>
        <v>-19.559999999999999</v>
      </c>
      <c r="F28" t="str">
        <f t="shared" si="3"/>
        <v>&lt;Placemark&gt;&lt;name&gt;-19.56,176.25&lt;/name&gt;&lt;Point&gt;&lt;coordinates&gt;176.25,-19.56,0&lt;/coordinates&gt;&lt;/Point&gt;&lt;/Placemark&gt;</v>
      </c>
    </row>
    <row r="29" spans="1:6" x14ac:dyDescent="0.35">
      <c r="A29" s="1">
        <f>COUNTA(A$12:A28)-1</f>
        <v>16</v>
      </c>
      <c r="B29" s="3">
        <f t="shared" si="4"/>
        <v>176</v>
      </c>
      <c r="C29" s="4">
        <f t="shared" si="0"/>
        <v>-19.532004663536743</v>
      </c>
      <c r="D29" s="4">
        <f t="shared" si="1"/>
        <v>3.1648406381545868E-2</v>
      </c>
      <c r="E29" s="5">
        <f t="shared" si="2"/>
        <v>-19.53</v>
      </c>
      <c r="F29" t="str">
        <f t="shared" si="3"/>
        <v>&lt;Placemark&gt;&lt;name&gt;-19.53,176&lt;/name&gt;&lt;Point&gt;&lt;coordinates&gt;176,-19.53,0&lt;/coordinates&gt;&lt;/Point&gt;&lt;/Placemark&gt;</v>
      </c>
    </row>
    <row r="30" spans="1:6" x14ac:dyDescent="0.35">
      <c r="A30" s="1">
        <f>COUNTA(A$12:A29)-1</f>
        <v>17</v>
      </c>
      <c r="B30" s="3">
        <f t="shared" si="4"/>
        <v>175.75</v>
      </c>
      <c r="C30" s="4">
        <f t="shared" si="0"/>
        <v>-19.5</v>
      </c>
      <c r="D30" s="4">
        <f t="shared" si="1"/>
        <v>3.2004663536742584E-2</v>
      </c>
      <c r="E30" s="5">
        <f t="shared" si="2"/>
        <v>-19.5</v>
      </c>
      <c r="F30" t="str">
        <f t="shared" si="3"/>
        <v>&lt;Placemark&gt;&lt;name&gt;-19.5,175.75&lt;/name&gt;&lt;Point&gt;&lt;coordinates&gt;175.75,-19.5,0&lt;/coordinates&gt;&lt;/Point&gt;&lt;/Placemark&gt;</v>
      </c>
    </row>
  </sheetData>
  <pageMargins left="0.7" right="0.7" top="0.75" bottom="0.75" header="0.3" footer="0.3"/>
  <pageSetup paperSize="9" orientation="portrait" r:id="rId1"/>
  <headerFooter>
    <oddFooter>&amp;C_x000D_&amp;1#&amp;"Aptos"&amp;9&amp;K00AEFF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7A2E-AFA3-4A5E-97D6-3C5CEA1C4FDB}">
  <dimension ref="A1:F74"/>
  <sheetViews>
    <sheetView workbookViewId="0"/>
  </sheetViews>
  <sheetFormatPr defaultRowHeight="14.5" x14ac:dyDescent="0.35"/>
  <cols>
    <col min="1" max="1" width="11.54296875" style="1" bestFit="1" customWidth="1"/>
    <col min="2" max="2" width="10.08984375" style="1" bestFit="1" customWidth="1"/>
    <col min="3" max="3" width="9.08984375" style="1" bestFit="1" customWidth="1"/>
    <col min="4" max="4" width="7.453125" style="1" bestFit="1" customWidth="1"/>
    <col min="5" max="5" width="10.453125" style="1" bestFit="1" customWidth="1"/>
  </cols>
  <sheetData>
    <row r="1" spans="1:6" s="9" customFormat="1" x14ac:dyDescent="0.35">
      <c r="A1" s="9" t="s">
        <v>15</v>
      </c>
      <c r="B1" t="s">
        <v>18</v>
      </c>
      <c r="C1"/>
      <c r="D1"/>
      <c r="E1"/>
    </row>
    <row r="2" spans="1:6" x14ac:dyDescent="0.35">
      <c r="A2" s="9" t="s">
        <v>0</v>
      </c>
      <c r="B2" s="1">
        <v>-19.5</v>
      </c>
    </row>
    <row r="3" spans="1:6" x14ac:dyDescent="0.35">
      <c r="A3" s="9" t="s">
        <v>1</v>
      </c>
      <c r="B3" s="1">
        <v>175.75</v>
      </c>
    </row>
    <row r="4" spans="1:6" x14ac:dyDescent="0.35">
      <c r="A4" s="9" t="s">
        <v>2</v>
      </c>
      <c r="B4" s="1">
        <v>19.5</v>
      </c>
    </row>
    <row r="5" spans="1:6" x14ac:dyDescent="0.35">
      <c r="A5" s="9" t="s">
        <v>3</v>
      </c>
      <c r="B5" s="1">
        <v>160.25</v>
      </c>
    </row>
    <row r="6" spans="1:6" x14ac:dyDescent="0.35">
      <c r="A6" s="9" t="s">
        <v>4</v>
      </c>
      <c r="B6" s="1" t="str">
        <f>IF(AND(B2=-B4, MOD(ABS(B3-B5), 360)=180), "ERROR: Antipodal Points", "Valid")</f>
        <v>Valid</v>
      </c>
    </row>
    <row r="7" spans="1:6" x14ac:dyDescent="0.35">
      <c r="A7" s="9" t="s">
        <v>5</v>
      </c>
      <c r="B7" s="2">
        <f>(TAN(RADIANS(B2))*COS(RADIANS(B5))-TAN(RADIANS(B4))*COS(RADIANS(B3)))/SIN(RADIANS(B3)-RADIANS(B5))</f>
        <v>2.5686158144633717</v>
      </c>
    </row>
    <row r="8" spans="1:6" x14ac:dyDescent="0.35">
      <c r="A8" s="9" t="s">
        <v>6</v>
      </c>
      <c r="B8" s="2">
        <f>(SIN(RADIANS(B3))*TAN(RADIANS(B4))-SIN(RADIANS(B5))*TAN(RADIANS(B2)))/SIN(RADIANS(B3)-RADIANS(B5))</f>
        <v>0.54597614577357767</v>
      </c>
    </row>
    <row r="9" spans="1:6" x14ac:dyDescent="0.35">
      <c r="A9" s="9" t="s">
        <v>7</v>
      </c>
      <c r="B9" s="1">
        <f>ROUNDUP(DEGREES(ATAN(SQRT(B7^2 + B8^2))),3)</f>
        <v>69.153000000000006</v>
      </c>
    </row>
    <row r="10" spans="1:6" x14ac:dyDescent="0.35">
      <c r="A10" s="9" t="s">
        <v>8</v>
      </c>
      <c r="B10" s="1" t="b">
        <f>OR(MOD(B3-B5, 180)=0, ABS(B2)=90, ABS(B4)=90)</f>
        <v>0</v>
      </c>
    </row>
    <row r="11" spans="1:6" x14ac:dyDescent="0.35">
      <c r="A11" s="9"/>
    </row>
    <row r="12" spans="1:6" s="9" customFormat="1" x14ac:dyDescent="0.35">
      <c r="A12" s="9" t="s">
        <v>10</v>
      </c>
      <c r="B12" s="9" t="s">
        <v>9</v>
      </c>
      <c r="C12" s="9" t="s">
        <v>11</v>
      </c>
      <c r="D12" s="9" t="s">
        <v>12</v>
      </c>
      <c r="E12" s="9" t="s">
        <v>13</v>
      </c>
      <c r="F12" s="9" t="s">
        <v>14</v>
      </c>
    </row>
    <row r="13" spans="1:6" x14ac:dyDescent="0.35">
      <c r="A13" s="1">
        <f>COUNTA(A$12:A12)-1</f>
        <v>0</v>
      </c>
      <c r="B13" s="3">
        <v>175.5</v>
      </c>
      <c r="C13" s="4">
        <f t="shared" ref="C13:C74" si="0">DEGREES(ATAN($B$7 * SIN(RADIANS(B13)) + $B$8 * COS(RADIANS(B13))))</f>
        <v>-18.919756619931636</v>
      </c>
      <c r="D13" s="4" t="str">
        <f t="shared" ref="D13:D74" si="1">IF(C12="Lat","",C13-C12)</f>
        <v/>
      </c>
      <c r="E13" s="5">
        <f t="shared" ref="E13:E14" si="2">ROUND(C13,2)</f>
        <v>-18.920000000000002</v>
      </c>
      <c r="F13" t="str">
        <f t="shared" ref="F13:F14" si="3">"&lt;Placemark&gt;&lt;name&gt;"&amp;E13&amp;","&amp;B13&amp;"&lt;/name&gt;&lt;Point&gt;&lt;coordinates&gt;"&amp;B13&amp;","&amp;E13&amp;",0&lt;/coordinates&gt;&lt;/Point&gt;&lt;/Placemark&gt;"</f>
        <v>&lt;Placemark&gt;&lt;name&gt;-18.92,175.5&lt;/name&gt;&lt;Point&gt;&lt;coordinates&gt;175.5,-18.92,0&lt;/coordinates&gt;&lt;/Point&gt;&lt;/Placemark&gt;</v>
      </c>
    </row>
    <row r="14" spans="1:6" x14ac:dyDescent="0.35">
      <c r="A14" s="1">
        <f>COUNTA(A$12:A13)-1</f>
        <v>1</v>
      </c>
      <c r="B14" s="3">
        <f t="shared" ref="B14" si="4">ROUND(B13,2)-0.25</f>
        <v>175.25</v>
      </c>
      <c r="C14" s="4">
        <f t="shared" si="0"/>
        <v>-18.33512003969151</v>
      </c>
      <c r="D14" s="4">
        <f t="shared" si="1"/>
        <v>0.58463658024012588</v>
      </c>
      <c r="E14" s="5">
        <f t="shared" si="2"/>
        <v>-18.34</v>
      </c>
      <c r="F14" t="str">
        <f t="shared" si="3"/>
        <v>&lt;Placemark&gt;&lt;name&gt;-18.34,175.25&lt;/name&gt;&lt;Point&gt;&lt;coordinates&gt;175.25,-18.34,0&lt;/coordinates&gt;&lt;/Point&gt;&lt;/Placemark&gt;</v>
      </c>
    </row>
    <row r="15" spans="1:6" x14ac:dyDescent="0.35">
      <c r="A15" s="1">
        <f>COUNTA(A$12:A14)-1</f>
        <v>2</v>
      </c>
      <c r="B15" s="3">
        <f t="shared" ref="B15:B73" si="5">ROUND(B14,2)-0.25</f>
        <v>175</v>
      </c>
      <c r="C15" s="4">
        <f t="shared" si="0"/>
        <v>-17.746174824241024</v>
      </c>
      <c r="D15" s="4">
        <f t="shared" si="1"/>
        <v>0.58894521545048661</v>
      </c>
      <c r="E15" s="5">
        <f t="shared" ref="E15:E73" si="6">ROUND(C15,2)</f>
        <v>-17.75</v>
      </c>
      <c r="F15" t="str">
        <f t="shared" ref="F15:F73" si="7">"&lt;Placemark&gt;&lt;name&gt;"&amp;E15&amp;","&amp;B15&amp;"&lt;/name&gt;&lt;Point&gt;&lt;coordinates&gt;"&amp;B15&amp;","&amp;E15&amp;",0&lt;/coordinates&gt;&lt;/Point&gt;&lt;/Placemark&gt;"</f>
        <v>&lt;Placemark&gt;&lt;name&gt;-17.75,175&lt;/name&gt;&lt;Point&gt;&lt;coordinates&gt;175,-17.75,0&lt;/coordinates&gt;&lt;/Point&gt;&lt;/Placemark&gt;</v>
      </c>
    </row>
    <row r="16" spans="1:6" x14ac:dyDescent="0.35">
      <c r="A16" s="1">
        <f>COUNTA(A$12:A15)-1</f>
        <v>3</v>
      </c>
      <c r="B16" s="3">
        <f t="shared" si="5"/>
        <v>174.75</v>
      </c>
      <c r="C16" s="4">
        <f t="shared" si="0"/>
        <v>-17.15301058053651</v>
      </c>
      <c r="D16" s="4">
        <f t="shared" si="1"/>
        <v>0.59316424370451415</v>
      </c>
      <c r="E16" s="5">
        <f t="shared" si="6"/>
        <v>-17.149999999999999</v>
      </c>
      <c r="F16" t="str">
        <f t="shared" si="7"/>
        <v>&lt;Placemark&gt;&lt;name&gt;-17.15,174.75&lt;/name&gt;&lt;Point&gt;&lt;coordinates&gt;174.75,-17.15,0&lt;/coordinates&gt;&lt;/Point&gt;&lt;/Placemark&gt;</v>
      </c>
    </row>
    <row r="17" spans="1:6" x14ac:dyDescent="0.35">
      <c r="A17" s="1">
        <f>COUNTA(A$12:A16)-1</f>
        <v>4</v>
      </c>
      <c r="B17" s="3">
        <f t="shared" si="5"/>
        <v>174.5</v>
      </c>
      <c r="C17" s="4">
        <f t="shared" si="0"/>
        <v>-16.555721967149001</v>
      </c>
      <c r="D17" s="4">
        <f t="shared" si="1"/>
        <v>0.5972886133875086</v>
      </c>
      <c r="E17" s="5">
        <f t="shared" si="6"/>
        <v>-16.559999999999999</v>
      </c>
      <c r="F17" t="str">
        <f t="shared" si="7"/>
        <v>&lt;Placemark&gt;&lt;name&gt;-16.56,174.5&lt;/name&gt;&lt;Point&gt;&lt;coordinates&gt;174.5,-16.56,0&lt;/coordinates&gt;&lt;/Point&gt;&lt;/Placemark&gt;</v>
      </c>
    </row>
    <row r="18" spans="1:6" x14ac:dyDescent="0.35">
      <c r="A18" s="1">
        <f>COUNTA(A$12:A17)-1</f>
        <v>5</v>
      </c>
      <c r="B18" s="3">
        <f t="shared" si="5"/>
        <v>174.25</v>
      </c>
      <c r="C18" s="4">
        <f t="shared" si="0"/>
        <v>-15.954408691475532</v>
      </c>
      <c r="D18" s="4">
        <f t="shared" si="1"/>
        <v>0.60131327567346915</v>
      </c>
      <c r="E18" s="5">
        <f t="shared" si="6"/>
        <v>-15.95</v>
      </c>
      <c r="F18" t="str">
        <f t="shared" si="7"/>
        <v>&lt;Placemark&gt;&lt;name&gt;-15.95,174.25&lt;/name&gt;&lt;Point&gt;&lt;coordinates&gt;174.25,-15.95,0&lt;/coordinates&gt;&lt;/Point&gt;&lt;/Placemark&gt;</v>
      </c>
    </row>
    <row r="19" spans="1:6" x14ac:dyDescent="0.35">
      <c r="A19" s="1">
        <f>COUNTA(A$12:A18)-1</f>
        <v>6</v>
      </c>
      <c r="B19" s="3">
        <f t="shared" si="5"/>
        <v>174</v>
      </c>
      <c r="C19" s="4">
        <f t="shared" si="0"/>
        <v>-15.349175494033451</v>
      </c>
      <c r="D19" s="4">
        <f t="shared" si="1"/>
        <v>0.60523319744208059</v>
      </c>
      <c r="E19" s="5">
        <f t="shared" si="6"/>
        <v>-15.35</v>
      </c>
      <c r="F19" t="str">
        <f t="shared" si="7"/>
        <v>&lt;Placemark&gt;&lt;name&gt;-15.35,174&lt;/name&gt;&lt;Point&gt;&lt;coordinates&gt;174,-15.35,0&lt;/coordinates&gt;&lt;/Point&gt;&lt;/Placemark&gt;</v>
      </c>
    </row>
    <row r="20" spans="1:6" x14ac:dyDescent="0.35">
      <c r="A20" s="1">
        <f>COUNTA(A$12:A19)-1</f>
        <v>7</v>
      </c>
      <c r="B20" s="3">
        <f t="shared" si="5"/>
        <v>173.75</v>
      </c>
      <c r="C20" s="4">
        <f t="shared" si="0"/>
        <v>-14.740132119372005</v>
      </c>
      <c r="D20" s="4">
        <f t="shared" si="1"/>
        <v>0.60904337466144653</v>
      </c>
      <c r="E20" s="5">
        <f t="shared" si="6"/>
        <v>-14.74</v>
      </c>
      <c r="F20" t="str">
        <f t="shared" si="7"/>
        <v>&lt;Placemark&gt;&lt;name&gt;-14.74,173.75&lt;/name&gt;&lt;Point&gt;&lt;coordinates&gt;173.75,-14.74,0&lt;/coordinates&gt;&lt;/Point&gt;&lt;/Placemark&gt;</v>
      </c>
    </row>
    <row r="21" spans="1:6" x14ac:dyDescent="0.35">
      <c r="A21" s="1">
        <f>COUNTA(A$12:A20)-1</f>
        <v>8</v>
      </c>
      <c r="B21" s="3">
        <f t="shared" si="5"/>
        <v>173.5</v>
      </c>
      <c r="C21" s="4">
        <f t="shared" si="0"/>
        <v>-14.127393273187856</v>
      </c>
      <c r="D21" s="4">
        <f t="shared" si="1"/>
        <v>0.61273884618414876</v>
      </c>
      <c r="E21" s="5">
        <f t="shared" si="6"/>
        <v>-14.13</v>
      </c>
      <c r="F21" t="str">
        <f t="shared" si="7"/>
        <v>&lt;Placemark&gt;&lt;name&gt;-14.13,173.5&lt;/name&gt;&lt;Point&gt;&lt;coordinates&gt;173.5,-14.13,0&lt;/coordinates&gt;&lt;/Point&gt;&lt;/Placemark&gt;</v>
      </c>
    </row>
    <row r="22" spans="1:6" x14ac:dyDescent="0.35">
      <c r="A22" s="1">
        <f>COUNTA(A$12:A21)-1</f>
        <v>9</v>
      </c>
      <c r="B22" s="3">
        <f t="shared" si="5"/>
        <v>173.25</v>
      </c>
      <c r="C22" s="4">
        <f t="shared" si="0"/>
        <v>-13.511078565287191</v>
      </c>
      <c r="D22" s="4">
        <f t="shared" si="1"/>
        <v>0.61631470790066523</v>
      </c>
      <c r="E22" s="5">
        <f t="shared" si="6"/>
        <v>-13.51</v>
      </c>
      <c r="F22" t="str">
        <f t="shared" si="7"/>
        <v>&lt;Placemark&gt;&lt;name&gt;-13.51,173.25&lt;/name&gt;&lt;Point&gt;&lt;coordinates&gt;173.25,-13.51,0&lt;/coordinates&gt;&lt;/Point&gt;&lt;/Placemark&gt;</v>
      </c>
    </row>
    <row r="23" spans="1:6" x14ac:dyDescent="0.35">
      <c r="A23" s="1">
        <f>COUNTA(A$12:A22)-1</f>
        <v>10</v>
      </c>
      <c r="B23" s="3">
        <f t="shared" si="5"/>
        <v>173</v>
      </c>
      <c r="C23" s="4">
        <f t="shared" si="0"/>
        <v>-12.891312438096744</v>
      </c>
      <c r="D23" s="4">
        <f t="shared" si="1"/>
        <v>0.61976612719044688</v>
      </c>
      <c r="E23" s="5">
        <f t="shared" si="6"/>
        <v>-12.89</v>
      </c>
      <c r="F23" t="str">
        <f t="shared" si="7"/>
        <v>&lt;Placemark&gt;&lt;name&gt;-12.89,173&lt;/name&gt;&lt;Point&gt;&lt;coordinates&gt;173,-12.89,0&lt;/coordinates&gt;&lt;/Point&gt;&lt;/Placemark&gt;</v>
      </c>
    </row>
    <row r="24" spans="1:6" x14ac:dyDescent="0.35">
      <c r="A24" s="1">
        <f>COUNTA(A$12:A23)-1</f>
        <v>11</v>
      </c>
      <c r="B24" s="3">
        <f t="shared" si="5"/>
        <v>172.75</v>
      </c>
      <c r="C24" s="4">
        <f t="shared" si="0"/>
        <v>-12.268224080496141</v>
      </c>
      <c r="D24" s="4">
        <f t="shared" si="1"/>
        <v>0.62308835760060255</v>
      </c>
      <c r="E24" s="5">
        <f t="shared" si="6"/>
        <v>-12.27</v>
      </c>
      <c r="F24" t="str">
        <f t="shared" si="7"/>
        <v>&lt;Placemark&gt;&lt;name&gt;-12.27,172.75&lt;/name&gt;&lt;Point&gt;&lt;coordinates&gt;172.75,-12.27,0&lt;/coordinates&gt;&lt;/Point&gt;&lt;/Placemark&gt;</v>
      </c>
    </row>
    <row r="25" spans="1:6" x14ac:dyDescent="0.35">
      <c r="A25" s="1">
        <f>COUNTA(A$12:A24)-1</f>
        <v>12</v>
      </c>
      <c r="B25" s="3">
        <f t="shared" si="5"/>
        <v>172.5</v>
      </c>
      <c r="C25" s="4">
        <f t="shared" si="0"/>
        <v>-11.641947326812224</v>
      </c>
      <c r="D25" s="4">
        <f t="shared" si="1"/>
        <v>0.62627675368391778</v>
      </c>
      <c r="E25" s="5">
        <f t="shared" si="6"/>
        <v>-11.64</v>
      </c>
      <c r="F25" t="str">
        <f t="shared" si="7"/>
        <v>&lt;Placemark&gt;&lt;name&gt;-11.64,172.5&lt;/name&gt;&lt;Point&gt;&lt;coordinates&gt;172.5,-11.64,0&lt;/coordinates&gt;&lt;/Point&gt;&lt;/Placemark&gt;</v>
      </c>
    </row>
    <row r="26" spans="1:6" x14ac:dyDescent="0.35">
      <c r="A26" s="1">
        <f>COUNTA(A$12:A25)-1</f>
        <v>13</v>
      </c>
      <c r="B26" s="3">
        <f t="shared" si="5"/>
        <v>172.25</v>
      </c>
      <c r="C26" s="4">
        <f t="shared" si="0"/>
        <v>-11.012620540894364</v>
      </c>
      <c r="D26" s="4">
        <f t="shared" si="1"/>
        <v>0.62932678591785951</v>
      </c>
      <c r="E26" s="5">
        <f t="shared" si="6"/>
        <v>-11.01</v>
      </c>
      <c r="F26" t="str">
        <f t="shared" si="7"/>
        <v>&lt;Placemark&gt;&lt;name&gt;-11.01,172.25&lt;/name&gt;&lt;Point&gt;&lt;coordinates&gt;172.25,-11.01,0&lt;/coordinates&gt;&lt;/Point&gt;&lt;/Placemark&gt;</v>
      </c>
    </row>
    <row r="27" spans="1:6" x14ac:dyDescent="0.35">
      <c r="A27" s="1">
        <f>COUNTA(A$12:A26)-1</f>
        <v>14</v>
      </c>
      <c r="B27" s="3">
        <f t="shared" si="5"/>
        <v>172</v>
      </c>
      <c r="C27" s="4">
        <f t="shared" si="0"/>
        <v>-10.380386485269618</v>
      </c>
      <c r="D27" s="4">
        <f t="shared" si="1"/>
        <v>0.63223405562474611</v>
      </c>
      <c r="E27" s="5">
        <f t="shared" si="6"/>
        <v>-10.38</v>
      </c>
      <c r="F27" t="str">
        <f t="shared" si="7"/>
        <v>&lt;Placemark&gt;&lt;name&gt;-10.38,172&lt;/name&gt;&lt;Point&gt;&lt;coordinates&gt;172,-10.38,0&lt;/coordinates&gt;&lt;/Point&gt;&lt;/Placemark&gt;</v>
      </c>
    </row>
    <row r="28" spans="1:6" x14ac:dyDescent="0.35">
      <c r="A28" s="1">
        <f>COUNTA(A$12:A27)-1</f>
        <v>15</v>
      </c>
      <c r="B28" s="3">
        <f t="shared" si="5"/>
        <v>171.75</v>
      </c>
      <c r="C28" s="4">
        <f t="shared" si="0"/>
        <v>-9.7453921754578765</v>
      </c>
      <c r="D28" s="4">
        <f t="shared" si="1"/>
        <v>0.63499430981174143</v>
      </c>
      <c r="E28" s="5">
        <f t="shared" si="6"/>
        <v>-9.75</v>
      </c>
      <c r="F28" t="str">
        <f t="shared" si="7"/>
        <v>&lt;Placemark&gt;&lt;name&gt;-9.75,171.75&lt;/name&gt;&lt;Point&gt;&lt;coordinates&gt;171.75,-9.75,0&lt;/coordinates&gt;&lt;/Point&gt;&lt;/Placemark&gt;</v>
      </c>
    </row>
    <row r="29" spans="1:6" x14ac:dyDescent="0.35">
      <c r="A29" s="1">
        <f>COUNTA(A$12:A28)-1</f>
        <v>16</v>
      </c>
      <c r="B29" s="3">
        <f t="shared" si="5"/>
        <v>171.5</v>
      </c>
      <c r="C29" s="4">
        <f t="shared" si="0"/>
        <v>-9.1077887196163765</v>
      </c>
      <c r="D29" s="4">
        <f t="shared" si="1"/>
        <v>0.63760345584150002</v>
      </c>
      <c r="E29" s="5">
        <f t="shared" si="6"/>
        <v>-9.11</v>
      </c>
      <c r="F29" t="str">
        <f t="shared" si="7"/>
        <v>&lt;Placemark&gt;&lt;name&gt;-9.11,171.5&lt;/name&gt;&lt;Point&gt;&lt;coordinates&gt;171.5,-9.11,0&lt;/coordinates&gt;&lt;/Point&gt;&lt;/Placemark&gt;</v>
      </c>
    </row>
    <row r="30" spans="1:6" x14ac:dyDescent="0.35">
      <c r="A30" s="1">
        <f>COUNTA(A$12:A29)-1</f>
        <v>17</v>
      </c>
      <c r="B30" s="3">
        <f t="shared" si="5"/>
        <v>171.25</v>
      </c>
      <c r="C30" s="4">
        <f t="shared" si="0"/>
        <v>-8.4677311437676916</v>
      </c>
      <c r="D30" s="4">
        <f t="shared" si="1"/>
        <v>0.64005757584868483</v>
      </c>
      <c r="E30" s="5">
        <f t="shared" si="6"/>
        <v>-8.4700000000000006</v>
      </c>
      <c r="F30" t="str">
        <f t="shared" si="7"/>
        <v>&lt;Placemark&gt;&lt;name&gt;-8.47,171.25&lt;/name&gt;&lt;Point&gt;&lt;coordinates&gt;171.25,-8.47,0&lt;/coordinates&gt;&lt;/Point&gt;&lt;/Placemark&gt;</v>
      </c>
    </row>
    <row r="31" spans="1:6" x14ac:dyDescent="0.35">
      <c r="A31" s="1">
        <f>COUNTA(A$12:A30)-1</f>
        <v>18</v>
      </c>
      <c r="B31" s="3">
        <f t="shared" si="5"/>
        <v>171</v>
      </c>
      <c r="C31" s="4">
        <f t="shared" si="0"/>
        <v>-7.8253782029565846</v>
      </c>
      <c r="D31" s="4">
        <f t="shared" si="1"/>
        <v>0.64235294081110705</v>
      </c>
      <c r="E31" s="5">
        <f t="shared" si="6"/>
        <v>-7.83</v>
      </c>
      <c r="F31" t="str">
        <f t="shared" si="7"/>
        <v>&lt;Placemark&gt;&lt;name&gt;-7.83,171&lt;/name&gt;&lt;Point&gt;&lt;coordinates&gt;171,-7.83,0&lt;/coordinates&gt;&lt;/Point&gt;&lt;/Placemark&gt;</v>
      </c>
    </row>
    <row r="32" spans="1:6" x14ac:dyDescent="0.35">
      <c r="A32" s="1">
        <f>COUNTA(A$12:A31)-1</f>
        <v>19</v>
      </c>
      <c r="B32" s="3">
        <f t="shared" si="5"/>
        <v>170.75</v>
      </c>
      <c r="C32" s="4">
        <f t="shared" si="0"/>
        <v>-7.180892178770593</v>
      </c>
      <c r="D32" s="4">
        <f t="shared" si="1"/>
        <v>0.64448602418599155</v>
      </c>
      <c r="E32" s="5">
        <f t="shared" si="6"/>
        <v>-7.18</v>
      </c>
      <c r="F32" t="str">
        <f t="shared" si="7"/>
        <v>&lt;Placemark&gt;&lt;name&gt;-7.18,170.75&lt;/name&gt;&lt;Point&gt;&lt;coordinates&gt;170.75,-7.18,0&lt;/coordinates&gt;&lt;/Point&gt;&lt;/Placemark&gt;</v>
      </c>
    </row>
    <row r="33" spans="1:6" x14ac:dyDescent="0.35">
      <c r="A33" s="1">
        <f>COUNTA(A$12:A32)-1</f>
        <v>20</v>
      </c>
      <c r="B33" s="3">
        <f t="shared" si="5"/>
        <v>170.5</v>
      </c>
      <c r="C33" s="4">
        <f t="shared" si="0"/>
        <v>-6.5344386637461627</v>
      </c>
      <c r="D33" s="4">
        <f t="shared" si="1"/>
        <v>0.64645351502443038</v>
      </c>
      <c r="E33" s="5">
        <f t="shared" si="6"/>
        <v>-6.53</v>
      </c>
      <c r="F33" t="str">
        <f t="shared" si="7"/>
        <v>&lt;Placemark&gt;&lt;name&gt;-6.53,170.5&lt;/name&gt;&lt;Point&gt;&lt;coordinates&gt;170.5,-6.53,0&lt;/coordinates&gt;&lt;/Point&gt;&lt;/Placemark&gt;</v>
      </c>
    </row>
    <row r="34" spans="1:6" x14ac:dyDescent="0.35">
      <c r="A34" s="1">
        <f>COUNTA(A$12:A33)-1</f>
        <v>21</v>
      </c>
      <c r="B34" s="3">
        <f t="shared" si="5"/>
        <v>170.25</v>
      </c>
      <c r="C34" s="4">
        <f t="shared" si="0"/>
        <v>-5.8861863332733924</v>
      </c>
      <c r="D34" s="4">
        <f t="shared" si="1"/>
        <v>0.64825233047277031</v>
      </c>
      <c r="E34" s="5">
        <f t="shared" si="6"/>
        <v>-5.89</v>
      </c>
      <c r="F34" t="str">
        <f t="shared" si="7"/>
        <v>&lt;Placemark&gt;&lt;name&gt;-5.89,170.25&lt;/name&gt;&lt;Point&gt;&lt;coordinates&gt;170.25,-5.89,0&lt;/coordinates&gt;&lt;/Point&gt;&lt;/Placemark&gt;</v>
      </c>
    </row>
    <row r="35" spans="1:6" x14ac:dyDescent="0.35">
      <c r="A35" s="1">
        <f>COUNTA(A$12:A34)-1</f>
        <v>22</v>
      </c>
      <c r="B35" s="3">
        <f t="shared" si="5"/>
        <v>170</v>
      </c>
      <c r="C35" s="4">
        <f t="shared" si="0"/>
        <v>-5.2363067056941368</v>
      </c>
      <c r="D35" s="4">
        <f t="shared" si="1"/>
        <v>0.64987962757925555</v>
      </c>
      <c r="E35" s="5">
        <f t="shared" si="6"/>
        <v>-5.24</v>
      </c>
      <c r="F35" t="str">
        <f t="shared" si="7"/>
        <v>&lt;Placemark&gt;&lt;name&gt;-5.24,170&lt;/name&gt;&lt;Point&gt;&lt;coordinates&gt;170,-5.24,0&lt;/coordinates&gt;&lt;/Point&gt;&lt;/Placemark&gt;</v>
      </c>
    </row>
    <row r="36" spans="1:6" x14ac:dyDescent="0.35">
      <c r="A36" s="1">
        <f>COUNTA(A$12:A35)-1</f>
        <v>23</v>
      </c>
      <c r="B36" s="3">
        <f t="shared" si="5"/>
        <v>169.75</v>
      </c>
      <c r="C36" s="4">
        <f t="shared" si="0"/>
        <v>-4.5849738913730009</v>
      </c>
      <c r="D36" s="4">
        <f t="shared" si="1"/>
        <v>0.65133281432113588</v>
      </c>
      <c r="E36" s="5">
        <f t="shared" si="6"/>
        <v>-4.58</v>
      </c>
      <c r="F36" t="str">
        <f t="shared" si="7"/>
        <v>&lt;Placemark&gt;&lt;name&gt;-4.58,169.75&lt;/name&gt;&lt;Point&gt;&lt;coordinates&gt;169.75,-4.58,0&lt;/coordinates&gt;&lt;/Point&gt;&lt;/Placemark&gt;</v>
      </c>
    </row>
    <row r="37" spans="1:6" x14ac:dyDescent="0.35">
      <c r="A37" s="1">
        <f>COUNTA(A$12:A36)-1</f>
        <v>24</v>
      </c>
      <c r="B37" s="3">
        <f t="shared" si="5"/>
        <v>169.5</v>
      </c>
      <c r="C37" s="4">
        <f t="shared" si="0"/>
        <v>-3.9323643315986256</v>
      </c>
      <c r="D37" s="4">
        <f t="shared" si="1"/>
        <v>0.65260955977437529</v>
      </c>
      <c r="E37" s="5">
        <f t="shared" si="6"/>
        <v>-3.93</v>
      </c>
      <c r="F37" t="str">
        <f t="shared" si="7"/>
        <v>&lt;Placemark&gt;&lt;name&gt;-3.93,169.5&lt;/name&gt;&lt;Point&gt;&lt;coordinates&gt;169.5,-3.93,0&lt;/coordinates&gt;&lt;/Point&gt;&lt;/Placemark&gt;</v>
      </c>
    </row>
    <row r="38" spans="1:6" x14ac:dyDescent="0.35">
      <c r="A38" s="1">
        <f>COUNTA(A$12:A37)-1</f>
        <v>25</v>
      </c>
      <c r="B38" s="3">
        <f t="shared" si="5"/>
        <v>169.25</v>
      </c>
      <c r="C38" s="4">
        <f t="shared" si="0"/>
        <v>-3.2786565282444267</v>
      </c>
      <c r="D38" s="4">
        <f t="shared" si="1"/>
        <v>0.65370780335419898</v>
      </c>
      <c r="E38" s="5">
        <f t="shared" si="6"/>
        <v>-3.28</v>
      </c>
      <c r="F38" t="str">
        <f t="shared" si="7"/>
        <v>&lt;Placemark&gt;&lt;name&gt;-3.28,169.25&lt;/name&gt;&lt;Point&gt;&lt;coordinates&gt;169.25,-3.28,0&lt;/coordinates&gt;&lt;/Point&gt;&lt;/Placemark&gt;</v>
      </c>
    </row>
    <row r="39" spans="1:6" x14ac:dyDescent="0.35">
      <c r="A39" s="1">
        <f>COUNTA(A$12:A38)-1</f>
        <v>26</v>
      </c>
      <c r="B39" s="3">
        <f t="shared" si="5"/>
        <v>169</v>
      </c>
      <c r="C39" s="4">
        <f t="shared" si="0"/>
        <v>-2.6240307651868227</v>
      </c>
      <c r="D39" s="4">
        <f t="shared" si="1"/>
        <v>0.654625763057604</v>
      </c>
      <c r="E39" s="5">
        <f t="shared" si="6"/>
        <v>-2.62</v>
      </c>
      <c r="F39" t="str">
        <f t="shared" si="7"/>
        <v>&lt;Placemark&gt;&lt;name&gt;-2.62,169&lt;/name&gt;&lt;Point&gt;&lt;coordinates&gt;169,-2.62,0&lt;/coordinates&gt;&lt;/Point&gt;&lt;/Placemark&gt;</v>
      </c>
    </row>
    <row r="40" spans="1:6" x14ac:dyDescent="0.35">
      <c r="A40" s="1">
        <f>COUNTA(A$12:A39)-1</f>
        <v>27</v>
      </c>
      <c r="B40" s="3">
        <f t="shared" si="5"/>
        <v>168.75</v>
      </c>
      <c r="C40" s="4">
        <f t="shared" si="0"/>
        <v>-1.9686688225403359</v>
      </c>
      <c r="D40" s="4">
        <f t="shared" si="1"/>
        <v>0.65536194264648673</v>
      </c>
      <c r="E40" s="5">
        <f t="shared" si="6"/>
        <v>-1.97</v>
      </c>
      <c r="F40" t="str">
        <f t="shared" si="7"/>
        <v>&lt;Placemark&gt;&lt;name&gt;-1.97,168.75&lt;/name&gt;&lt;Point&gt;&lt;coordinates&gt;168.75,-1.97,0&lt;/coordinates&gt;&lt;/Point&gt;&lt;/Placemark&gt;</v>
      </c>
    </row>
    <row r="41" spans="1:6" x14ac:dyDescent="0.35">
      <c r="A41" s="1">
        <f>COUNTA(A$12:A40)-1</f>
        <v>28</v>
      </c>
      <c r="B41" s="3">
        <f t="shared" si="5"/>
        <v>168.5</v>
      </c>
      <c r="C41" s="4">
        <f t="shared" si="0"/>
        <v>-1.3127536848200443</v>
      </c>
      <c r="D41" s="4">
        <f t="shared" si="1"/>
        <v>0.65591513772029164</v>
      </c>
      <c r="E41" s="5">
        <f t="shared" si="6"/>
        <v>-1.31</v>
      </c>
      <c r="F41" t="str">
        <f t="shared" si="7"/>
        <v>&lt;Placemark&gt;&lt;name&gt;-1.31,168.5&lt;/name&gt;&lt;Point&gt;&lt;coordinates&gt;168.5,-1.31,0&lt;/coordinates&gt;&lt;/Point&gt;&lt;/Placemark&gt;</v>
      </c>
    </row>
    <row r="42" spans="1:6" x14ac:dyDescent="0.35">
      <c r="A42" s="1">
        <f>COUNTA(A$12:A41)-1</f>
        <v>29</v>
      </c>
      <c r="B42" s="3">
        <f t="shared" si="5"/>
        <v>168.25</v>
      </c>
      <c r="C42" s="4">
        <f t="shared" si="0"/>
        <v>-0.65646924419124875</v>
      </c>
      <c r="D42" s="4">
        <f t="shared" si="1"/>
        <v>0.65628444062879554</v>
      </c>
      <c r="E42" s="5">
        <f t="shared" si="6"/>
        <v>-0.66</v>
      </c>
      <c r="F42" t="str">
        <f t="shared" si="7"/>
        <v>&lt;Placemark&gt;&lt;name&gt;-0.66,168.25&lt;/name&gt;&lt;Point&gt;&lt;coordinates&gt;168.25,-0.66,0&lt;/coordinates&gt;&lt;/Point&gt;&lt;/Placemark&gt;</v>
      </c>
    </row>
    <row r="43" spans="1:6" x14ac:dyDescent="0.35">
      <c r="A43" s="1">
        <f>COUNTA(A$12:A42)-1</f>
        <v>30</v>
      </c>
      <c r="B43" s="3">
        <f t="shared" si="5"/>
        <v>168</v>
      </c>
      <c r="C43" s="4">
        <f t="shared" si="0"/>
        <v>0</v>
      </c>
      <c r="D43" s="4">
        <f t="shared" si="1"/>
        <v>0.65646924419124875</v>
      </c>
      <c r="E43" s="5">
        <f t="shared" si="6"/>
        <v>0</v>
      </c>
      <c r="F43" t="str">
        <f t="shared" si="7"/>
        <v>&lt;Placemark&gt;&lt;name&gt;0,168&lt;/name&gt;&lt;Point&gt;&lt;coordinates&gt;168,0,0&lt;/coordinates&gt;&lt;/Point&gt;&lt;/Placemark&gt;</v>
      </c>
    </row>
    <row r="44" spans="1:6" x14ac:dyDescent="0.35">
      <c r="A44" s="1">
        <f>COUNTA(A$12:A43)-1</f>
        <v>31</v>
      </c>
      <c r="B44" s="3">
        <f t="shared" si="5"/>
        <v>167.75</v>
      </c>
      <c r="C44" s="4">
        <f t="shared" si="0"/>
        <v>0.65646924419131236</v>
      </c>
      <c r="D44" s="4">
        <f t="shared" si="1"/>
        <v>0.65646924419131236</v>
      </c>
      <c r="E44" s="5">
        <f t="shared" si="6"/>
        <v>0.66</v>
      </c>
      <c r="F44" t="str">
        <f t="shared" si="7"/>
        <v>&lt;Placemark&gt;&lt;name&gt;0.66,167.75&lt;/name&gt;&lt;Point&gt;&lt;coordinates&gt;167.75,0.66,0&lt;/coordinates&gt;&lt;/Point&gt;&lt;/Placemark&gt;</v>
      </c>
    </row>
    <row r="45" spans="1:6" x14ac:dyDescent="0.35">
      <c r="A45" s="1">
        <f>COUNTA(A$12:A44)-1</f>
        <v>32</v>
      </c>
      <c r="B45" s="3">
        <f t="shared" si="5"/>
        <v>167.5</v>
      </c>
      <c r="C45" s="4">
        <f t="shared" si="0"/>
        <v>1.3127536848200505</v>
      </c>
      <c r="D45" s="4">
        <f t="shared" si="1"/>
        <v>0.65628444062873814</v>
      </c>
      <c r="E45" s="5">
        <f t="shared" si="6"/>
        <v>1.31</v>
      </c>
      <c r="F45" t="str">
        <f t="shared" si="7"/>
        <v>&lt;Placemark&gt;&lt;name&gt;1.31,167.5&lt;/name&gt;&lt;Point&gt;&lt;coordinates&gt;167.5,1.31,0&lt;/coordinates&gt;&lt;/Point&gt;&lt;/Placemark&gt;</v>
      </c>
    </row>
    <row r="46" spans="1:6" x14ac:dyDescent="0.35">
      <c r="A46" s="1">
        <f>COUNTA(A$12:A45)-1</f>
        <v>33</v>
      </c>
      <c r="B46" s="3">
        <f t="shared" si="5"/>
        <v>167.25</v>
      </c>
      <c r="C46" s="4">
        <f t="shared" si="0"/>
        <v>1.9686688225403419</v>
      </c>
      <c r="D46" s="4">
        <f t="shared" si="1"/>
        <v>0.65591513772029142</v>
      </c>
      <c r="E46" s="5">
        <f t="shared" si="6"/>
        <v>1.97</v>
      </c>
      <c r="F46" t="str">
        <f t="shared" si="7"/>
        <v>&lt;Placemark&gt;&lt;name&gt;1.97,167.25&lt;/name&gt;&lt;Point&gt;&lt;coordinates&gt;167.25,1.97,0&lt;/coordinates&gt;&lt;/Point&gt;&lt;/Placemark&gt;</v>
      </c>
    </row>
    <row r="47" spans="1:6" x14ac:dyDescent="0.35">
      <c r="A47" s="1">
        <f>COUNTA(A$12:A46)-1</f>
        <v>34</v>
      </c>
      <c r="B47" s="3">
        <f t="shared" si="5"/>
        <v>167</v>
      </c>
      <c r="C47" s="4">
        <f t="shared" si="0"/>
        <v>2.6240307651868924</v>
      </c>
      <c r="D47" s="4">
        <f t="shared" si="1"/>
        <v>0.65536194264655045</v>
      </c>
      <c r="E47" s="5">
        <f t="shared" si="6"/>
        <v>2.62</v>
      </c>
      <c r="F47" t="str">
        <f t="shared" si="7"/>
        <v>&lt;Placemark&gt;&lt;name&gt;2.62,167&lt;/name&gt;&lt;Point&gt;&lt;coordinates&gt;167,2.62,0&lt;/coordinates&gt;&lt;/Point&gt;&lt;/Placemark&gt;</v>
      </c>
    </row>
    <row r="48" spans="1:6" x14ac:dyDescent="0.35">
      <c r="A48" s="1">
        <f>COUNTA(A$12:A47)-1</f>
        <v>35</v>
      </c>
      <c r="B48" s="3">
        <f t="shared" si="5"/>
        <v>166.75</v>
      </c>
      <c r="C48" s="4">
        <f t="shared" si="0"/>
        <v>3.2786565282444267</v>
      </c>
      <c r="D48" s="4">
        <f t="shared" si="1"/>
        <v>0.65462576305753428</v>
      </c>
      <c r="E48" s="5">
        <f t="shared" si="6"/>
        <v>3.28</v>
      </c>
      <c r="F48" t="str">
        <f t="shared" si="7"/>
        <v>&lt;Placemark&gt;&lt;name&gt;3.28,166.75&lt;/name&gt;&lt;Point&gt;&lt;coordinates&gt;166.75,3.28,0&lt;/coordinates&gt;&lt;/Point&gt;&lt;/Placemark&gt;</v>
      </c>
    </row>
    <row r="49" spans="1:6" x14ac:dyDescent="0.35">
      <c r="A49" s="1">
        <f>COUNTA(A$12:A48)-1</f>
        <v>36</v>
      </c>
      <c r="B49" s="3">
        <f t="shared" si="5"/>
        <v>166.5</v>
      </c>
      <c r="C49" s="4">
        <f t="shared" si="0"/>
        <v>3.932364331598698</v>
      </c>
      <c r="D49" s="4">
        <f t="shared" si="1"/>
        <v>0.65370780335427137</v>
      </c>
      <c r="E49" s="5">
        <f t="shared" si="6"/>
        <v>3.93</v>
      </c>
      <c r="F49" t="str">
        <f t="shared" si="7"/>
        <v>&lt;Placemark&gt;&lt;name&gt;3.93,166.5&lt;/name&gt;&lt;Point&gt;&lt;coordinates&gt;166.5,3.93,0&lt;/coordinates&gt;&lt;/Point&gt;&lt;/Placemark&gt;</v>
      </c>
    </row>
    <row r="50" spans="1:6" x14ac:dyDescent="0.35">
      <c r="A50" s="1">
        <f>COUNTA(A$12:A49)-1</f>
        <v>37</v>
      </c>
      <c r="B50" s="3">
        <f t="shared" si="5"/>
        <v>166.25</v>
      </c>
      <c r="C50" s="4">
        <f t="shared" si="0"/>
        <v>4.5849738913730045</v>
      </c>
      <c r="D50" s="4">
        <f t="shared" si="1"/>
        <v>0.65260955977430646</v>
      </c>
      <c r="E50" s="5">
        <f t="shared" si="6"/>
        <v>4.58</v>
      </c>
      <c r="F50" t="str">
        <f t="shared" si="7"/>
        <v>&lt;Placemark&gt;&lt;name&gt;4.58,166.25&lt;/name&gt;&lt;Point&gt;&lt;coordinates&gt;166.25,4.58,0&lt;/coordinates&gt;&lt;/Point&gt;&lt;/Placemark&gt;</v>
      </c>
    </row>
    <row r="51" spans="1:6" x14ac:dyDescent="0.35">
      <c r="A51" s="1">
        <f>COUNTA(A$12:A50)-1</f>
        <v>38</v>
      </c>
      <c r="B51" s="3">
        <f t="shared" si="5"/>
        <v>166</v>
      </c>
      <c r="C51" s="4">
        <f t="shared" si="0"/>
        <v>5.2363067056941395</v>
      </c>
      <c r="D51" s="4">
        <f t="shared" si="1"/>
        <v>0.65133281432113499</v>
      </c>
      <c r="E51" s="5">
        <f t="shared" si="6"/>
        <v>5.24</v>
      </c>
      <c r="F51" t="str">
        <f t="shared" si="7"/>
        <v>&lt;Placemark&gt;&lt;name&gt;5.24,166&lt;/name&gt;&lt;Point&gt;&lt;coordinates&gt;166,5.24,0&lt;/coordinates&gt;&lt;/Point&gt;&lt;/Placemark&gt;</v>
      </c>
    </row>
    <row r="52" spans="1:6" x14ac:dyDescent="0.35">
      <c r="A52" s="1">
        <f>COUNTA(A$12:A51)-1</f>
        <v>39</v>
      </c>
      <c r="B52" s="3">
        <f t="shared" si="5"/>
        <v>165.75</v>
      </c>
      <c r="C52" s="4">
        <f t="shared" si="0"/>
        <v>5.8861863332734643</v>
      </c>
      <c r="D52" s="4">
        <f t="shared" si="1"/>
        <v>0.64987962757932483</v>
      </c>
      <c r="E52" s="5">
        <f t="shared" si="6"/>
        <v>5.89</v>
      </c>
      <c r="F52" t="str">
        <f t="shared" si="7"/>
        <v>&lt;Placemark&gt;&lt;name&gt;5.89,165.75&lt;/name&gt;&lt;Point&gt;&lt;coordinates&gt;165.75,5.89,0&lt;/coordinates&gt;&lt;/Point&gt;&lt;/Placemark&gt;</v>
      </c>
    </row>
    <row r="53" spans="1:6" x14ac:dyDescent="0.35">
      <c r="A53" s="1">
        <f>COUNTA(A$12:A52)-1</f>
        <v>40</v>
      </c>
      <c r="B53" s="3">
        <f t="shared" si="5"/>
        <v>165.5</v>
      </c>
      <c r="C53" s="4">
        <f t="shared" si="0"/>
        <v>6.5344386637461662</v>
      </c>
      <c r="D53" s="4">
        <f t="shared" si="1"/>
        <v>0.64825233047270192</v>
      </c>
      <c r="E53" s="5">
        <f t="shared" si="6"/>
        <v>6.53</v>
      </c>
      <c r="F53" t="str">
        <f t="shared" si="7"/>
        <v>&lt;Placemark&gt;&lt;name&gt;6.53,165.5&lt;/name&gt;&lt;Point&gt;&lt;coordinates&gt;165.5,6.53,0&lt;/coordinates&gt;&lt;/Point&gt;&lt;/Placemark&gt;</v>
      </c>
    </row>
    <row r="54" spans="1:6" x14ac:dyDescent="0.35">
      <c r="A54" s="1">
        <f>COUNTA(A$12:A53)-1</f>
        <v>41</v>
      </c>
      <c r="B54" s="3">
        <f t="shared" si="5"/>
        <v>165.25</v>
      </c>
      <c r="C54" s="4">
        <f t="shared" si="0"/>
        <v>7.180892178770593</v>
      </c>
      <c r="D54" s="4">
        <f t="shared" si="1"/>
        <v>0.64645351502442683</v>
      </c>
      <c r="E54" s="5">
        <f t="shared" si="6"/>
        <v>7.18</v>
      </c>
      <c r="F54" t="str">
        <f t="shared" si="7"/>
        <v>&lt;Placemark&gt;&lt;name&gt;7.18,165.25&lt;/name&gt;&lt;Point&gt;&lt;coordinates&gt;165.25,7.18,0&lt;/coordinates&gt;&lt;/Point&gt;&lt;/Placemark&gt;</v>
      </c>
    </row>
    <row r="55" spans="1:6" x14ac:dyDescent="0.35">
      <c r="A55" s="1">
        <f>COUNTA(A$12:A54)-1</f>
        <v>42</v>
      </c>
      <c r="B55" s="3">
        <f t="shared" si="5"/>
        <v>165</v>
      </c>
      <c r="C55" s="4">
        <f t="shared" si="0"/>
        <v>7.8253782029566601</v>
      </c>
      <c r="D55" s="4">
        <f t="shared" si="1"/>
        <v>0.64448602418606704</v>
      </c>
      <c r="E55" s="5">
        <f t="shared" si="6"/>
        <v>7.83</v>
      </c>
      <c r="F55" t="str">
        <f t="shared" si="7"/>
        <v>&lt;Placemark&gt;&lt;name&gt;7.83,165&lt;/name&gt;&lt;Point&gt;&lt;coordinates&gt;165,7.83,0&lt;/coordinates&gt;&lt;/Point&gt;&lt;/Placemark&gt;</v>
      </c>
    </row>
    <row r="56" spans="1:6" x14ac:dyDescent="0.35">
      <c r="A56" s="1">
        <f>COUNTA(A$12:A55)-1</f>
        <v>43</v>
      </c>
      <c r="B56" s="3">
        <f t="shared" si="5"/>
        <v>164.75</v>
      </c>
      <c r="C56" s="4">
        <f t="shared" si="0"/>
        <v>8.4677311437676988</v>
      </c>
      <c r="D56" s="4">
        <f t="shared" si="1"/>
        <v>0.64235294081103866</v>
      </c>
      <c r="E56" s="5">
        <f t="shared" si="6"/>
        <v>8.4700000000000006</v>
      </c>
      <c r="F56" t="str">
        <f t="shared" si="7"/>
        <v>&lt;Placemark&gt;&lt;name&gt;8.47,164.75&lt;/name&gt;&lt;Point&gt;&lt;coordinates&gt;164.75,8.47,0&lt;/coordinates&gt;&lt;/Point&gt;&lt;/Placemark&gt;</v>
      </c>
    </row>
    <row r="57" spans="1:6" x14ac:dyDescent="0.35">
      <c r="A57" s="1">
        <f>COUNTA(A$12:A56)-1</f>
        <v>44</v>
      </c>
      <c r="B57" s="3">
        <f t="shared" si="5"/>
        <v>164.5</v>
      </c>
      <c r="C57" s="4">
        <f t="shared" si="0"/>
        <v>9.1077887196164422</v>
      </c>
      <c r="D57" s="4">
        <f t="shared" si="1"/>
        <v>0.64005757584874345</v>
      </c>
      <c r="E57" s="5">
        <f t="shared" si="6"/>
        <v>9.11</v>
      </c>
      <c r="F57" t="str">
        <f t="shared" si="7"/>
        <v>&lt;Placemark&gt;&lt;name&gt;9.11,164.5&lt;/name&gt;&lt;Point&gt;&lt;coordinates&gt;164.5,9.11,0&lt;/coordinates&gt;&lt;/Point&gt;&lt;/Placemark&gt;</v>
      </c>
    </row>
    <row r="58" spans="1:6" x14ac:dyDescent="0.35">
      <c r="A58" s="1">
        <f>COUNTA(A$12:A57)-1</f>
        <v>45</v>
      </c>
      <c r="B58" s="3">
        <f t="shared" si="5"/>
        <v>164.25</v>
      </c>
      <c r="C58" s="4">
        <f t="shared" si="0"/>
        <v>9.7453921754578801</v>
      </c>
      <c r="D58" s="4">
        <f t="shared" si="1"/>
        <v>0.63760345584143785</v>
      </c>
      <c r="E58" s="5">
        <f t="shared" si="6"/>
        <v>9.75</v>
      </c>
      <c r="F58" t="str">
        <f t="shared" si="7"/>
        <v>&lt;Placemark&gt;&lt;name&gt;9.75,164.25&lt;/name&gt;&lt;Point&gt;&lt;coordinates&gt;164.25,9.75,0&lt;/coordinates&gt;&lt;/Point&gt;&lt;/Placemark&gt;</v>
      </c>
    </row>
    <row r="59" spans="1:6" x14ac:dyDescent="0.35">
      <c r="A59" s="1">
        <f>COUNTA(A$12:A58)-1</f>
        <v>46</v>
      </c>
      <c r="B59" s="3">
        <f t="shared" si="5"/>
        <v>164</v>
      </c>
      <c r="C59" s="4">
        <f t="shared" si="0"/>
        <v>10.380386485269618</v>
      </c>
      <c r="D59" s="4">
        <f t="shared" si="1"/>
        <v>0.63499430981173788</v>
      </c>
      <c r="E59" s="5">
        <f t="shared" si="6"/>
        <v>10.38</v>
      </c>
      <c r="F59" t="str">
        <f t="shared" si="7"/>
        <v>&lt;Placemark&gt;&lt;name&gt;10.38,164&lt;/name&gt;&lt;Point&gt;&lt;coordinates&gt;164,10.38,0&lt;/coordinates&gt;&lt;/Point&gt;&lt;/Placemark&gt;</v>
      </c>
    </row>
    <row r="60" spans="1:6" x14ac:dyDescent="0.35">
      <c r="A60" s="1">
        <f>COUNTA(A$12:A59)-1</f>
        <v>47</v>
      </c>
      <c r="B60" s="3">
        <f t="shared" si="5"/>
        <v>163.75</v>
      </c>
      <c r="C60" s="4">
        <f t="shared" si="0"/>
        <v>11.012620540894426</v>
      </c>
      <c r="D60" s="4">
        <f t="shared" si="1"/>
        <v>0.63223405562480828</v>
      </c>
      <c r="E60" s="5">
        <f t="shared" si="6"/>
        <v>11.01</v>
      </c>
      <c r="F60" t="str">
        <f t="shared" si="7"/>
        <v>&lt;Placemark&gt;&lt;name&gt;11.01,163.75&lt;/name&gt;&lt;Point&gt;&lt;coordinates&gt;163.75,11.01,0&lt;/coordinates&gt;&lt;/Point&gt;&lt;/Placemark&gt;</v>
      </c>
    </row>
    <row r="61" spans="1:6" x14ac:dyDescent="0.35">
      <c r="A61" s="1">
        <f>COUNTA(A$12:A60)-1</f>
        <v>48</v>
      </c>
      <c r="B61" s="3">
        <f t="shared" si="5"/>
        <v>163.5</v>
      </c>
      <c r="C61" s="4">
        <f t="shared" si="0"/>
        <v>11.641947326812229</v>
      </c>
      <c r="D61" s="4">
        <f t="shared" si="1"/>
        <v>0.62932678591780267</v>
      </c>
      <c r="E61" s="5">
        <f t="shared" si="6"/>
        <v>11.64</v>
      </c>
      <c r="F61" t="str">
        <f t="shared" si="7"/>
        <v>&lt;Placemark&gt;&lt;name&gt;11.64,163.5&lt;/name&gt;&lt;Point&gt;&lt;coordinates&gt;163.5,11.64,0&lt;/coordinates&gt;&lt;/Point&gt;&lt;/Placemark&gt;</v>
      </c>
    </row>
    <row r="62" spans="1:6" x14ac:dyDescent="0.35">
      <c r="A62" s="1">
        <f>COUNTA(A$12:A61)-1</f>
        <v>49</v>
      </c>
      <c r="B62" s="3">
        <f t="shared" si="5"/>
        <v>163.25</v>
      </c>
      <c r="C62" s="4">
        <f t="shared" si="0"/>
        <v>12.268224080496205</v>
      </c>
      <c r="D62" s="4">
        <f t="shared" si="1"/>
        <v>0.62627675368397639</v>
      </c>
      <c r="E62" s="5">
        <f t="shared" si="6"/>
        <v>12.27</v>
      </c>
      <c r="F62" t="str">
        <f t="shared" si="7"/>
        <v>&lt;Placemark&gt;&lt;name&gt;12.27,163.25&lt;/name&gt;&lt;Point&gt;&lt;coordinates&gt;163.25,12.27,0&lt;/coordinates&gt;&lt;/Point&gt;&lt;/Placemark&gt;</v>
      </c>
    </row>
    <row r="63" spans="1:6" x14ac:dyDescent="0.35">
      <c r="A63" s="1">
        <f>COUNTA(A$12:A62)-1</f>
        <v>50</v>
      </c>
      <c r="B63" s="3">
        <f t="shared" si="5"/>
        <v>163</v>
      </c>
      <c r="C63" s="4">
        <f t="shared" si="0"/>
        <v>12.891312438096747</v>
      </c>
      <c r="D63" s="4">
        <f t="shared" si="1"/>
        <v>0.62308835760054215</v>
      </c>
      <c r="E63" s="5">
        <f t="shared" si="6"/>
        <v>12.89</v>
      </c>
      <c r="F63" t="str">
        <f t="shared" si="7"/>
        <v>&lt;Placemark&gt;&lt;name&gt;12.89,163&lt;/name&gt;&lt;Point&gt;&lt;coordinates&gt;163,12.89,0&lt;/coordinates&gt;&lt;/Point&gt;&lt;/Placemark&gt;</v>
      </c>
    </row>
    <row r="64" spans="1:6" x14ac:dyDescent="0.35">
      <c r="A64" s="1">
        <f>COUNTA(A$12:A63)-1</f>
        <v>51</v>
      </c>
      <c r="B64" s="3">
        <f t="shared" si="5"/>
        <v>162.75</v>
      </c>
      <c r="C64" s="4">
        <f t="shared" si="0"/>
        <v>13.511078565287194</v>
      </c>
      <c r="D64" s="4">
        <f t="shared" si="1"/>
        <v>0.61976612719044688</v>
      </c>
      <c r="E64" s="5">
        <f t="shared" si="6"/>
        <v>13.51</v>
      </c>
      <c r="F64" t="str">
        <f t="shared" si="7"/>
        <v>&lt;Placemark&gt;&lt;name&gt;13.51,162.75&lt;/name&gt;&lt;Point&gt;&lt;coordinates&gt;162.75,13.51,0&lt;/coordinates&gt;&lt;/Point&gt;&lt;/Placemark&gt;</v>
      </c>
    </row>
    <row r="65" spans="1:6" x14ac:dyDescent="0.35">
      <c r="A65" s="1">
        <f>COUNTA(A$12:A64)-1</f>
        <v>52</v>
      </c>
      <c r="B65" s="3">
        <f t="shared" si="5"/>
        <v>162.5</v>
      </c>
      <c r="C65" s="4">
        <f t="shared" si="0"/>
        <v>14.127393273187925</v>
      </c>
      <c r="D65" s="4">
        <f t="shared" si="1"/>
        <v>0.61631470790073095</v>
      </c>
      <c r="E65" s="5">
        <f t="shared" si="6"/>
        <v>14.13</v>
      </c>
      <c r="F65" t="str">
        <f t="shared" si="7"/>
        <v>&lt;Placemark&gt;&lt;name&gt;14.13,162.5&lt;/name&gt;&lt;Point&gt;&lt;coordinates&gt;162.5,14.13,0&lt;/coordinates&gt;&lt;/Point&gt;&lt;/Placemark&gt;</v>
      </c>
    </row>
    <row r="66" spans="1:6" x14ac:dyDescent="0.35">
      <c r="A66" s="1">
        <f>COUNTA(A$12:A65)-1</f>
        <v>53</v>
      </c>
      <c r="B66" s="3">
        <f t="shared" si="5"/>
        <v>162.25</v>
      </c>
      <c r="C66" s="4">
        <f t="shared" si="0"/>
        <v>14.740132119372015</v>
      </c>
      <c r="D66" s="4">
        <f t="shared" si="1"/>
        <v>0.61273884618409014</v>
      </c>
      <c r="E66" s="5">
        <f t="shared" si="6"/>
        <v>14.74</v>
      </c>
      <c r="F66" t="str">
        <f t="shared" si="7"/>
        <v>&lt;Placemark&gt;&lt;name&gt;14.74,162.25&lt;/name&gt;&lt;Point&gt;&lt;coordinates&gt;162.25,14.74,0&lt;/coordinates&gt;&lt;/Point&gt;&lt;/Placemark&gt;</v>
      </c>
    </row>
    <row r="67" spans="1:6" x14ac:dyDescent="0.35">
      <c r="A67" s="1">
        <f>COUNTA(A$12:A66)-1</f>
        <v>54</v>
      </c>
      <c r="B67" s="3">
        <f t="shared" si="5"/>
        <v>162</v>
      </c>
      <c r="C67" s="4">
        <f t="shared" si="0"/>
        <v>15.349175494033517</v>
      </c>
      <c r="D67" s="4">
        <f t="shared" si="1"/>
        <v>0.6090433746615016</v>
      </c>
      <c r="E67" s="5">
        <f t="shared" si="6"/>
        <v>15.35</v>
      </c>
      <c r="F67" t="str">
        <f t="shared" si="7"/>
        <v>&lt;Placemark&gt;&lt;name&gt;15.35,162&lt;/name&gt;&lt;Point&gt;&lt;coordinates&gt;162,15.35,0&lt;/coordinates&gt;&lt;/Point&gt;&lt;/Placemark&gt;</v>
      </c>
    </row>
    <row r="68" spans="1:6" x14ac:dyDescent="0.35">
      <c r="A68" s="1">
        <f>COUNTA(A$12:A67)-1</f>
        <v>55</v>
      </c>
      <c r="B68" s="3">
        <f t="shared" si="5"/>
        <v>161.75</v>
      </c>
      <c r="C68" s="4">
        <f t="shared" si="0"/>
        <v>15.954408691475543</v>
      </c>
      <c r="D68" s="4">
        <f t="shared" si="1"/>
        <v>0.60523319744202553</v>
      </c>
      <c r="E68" s="5">
        <f t="shared" si="6"/>
        <v>15.95</v>
      </c>
      <c r="F68" t="str">
        <f t="shared" si="7"/>
        <v>&lt;Placemark&gt;&lt;name&gt;15.95,161.75&lt;/name&gt;&lt;Point&gt;&lt;coordinates&gt;161.75,15.95,0&lt;/coordinates&gt;&lt;/Point&gt;&lt;/Placemark&gt;</v>
      </c>
    </row>
    <row r="69" spans="1:6" x14ac:dyDescent="0.35">
      <c r="A69" s="1">
        <f>COUNTA(A$12:A68)-1</f>
        <v>56</v>
      </c>
      <c r="B69" s="3">
        <f t="shared" si="5"/>
        <v>161.5</v>
      </c>
      <c r="C69" s="4">
        <f t="shared" si="0"/>
        <v>16.555721967149005</v>
      </c>
      <c r="D69" s="4">
        <f t="shared" si="1"/>
        <v>0.60131327567346204</v>
      </c>
      <c r="E69" s="5">
        <f t="shared" si="6"/>
        <v>16.559999999999999</v>
      </c>
      <c r="F69" t="str">
        <f t="shared" si="7"/>
        <v>&lt;Placemark&gt;&lt;name&gt;16.56,161.5&lt;/name&gt;&lt;Point&gt;&lt;coordinates&gt;161.5,16.56,0&lt;/coordinates&gt;&lt;/Point&gt;&lt;/Placemark&gt;</v>
      </c>
    </row>
    <row r="70" spans="1:6" x14ac:dyDescent="0.35">
      <c r="A70" s="1">
        <f>COUNTA(A$12:A69)-1</f>
        <v>57</v>
      </c>
      <c r="B70" s="3">
        <f t="shared" si="5"/>
        <v>161.25</v>
      </c>
      <c r="C70" s="4">
        <f t="shared" si="0"/>
        <v>17.153010580536574</v>
      </c>
      <c r="D70" s="4">
        <f t="shared" si="1"/>
        <v>0.597288613387569</v>
      </c>
      <c r="E70" s="5">
        <f t="shared" si="6"/>
        <v>17.149999999999999</v>
      </c>
      <c r="F70" t="str">
        <f t="shared" si="7"/>
        <v>&lt;Placemark&gt;&lt;name&gt;17.15,161.25&lt;/name&gt;&lt;Point&gt;&lt;coordinates&gt;161.25,17.15,0&lt;/coordinates&gt;&lt;/Point&gt;&lt;/Placemark&gt;</v>
      </c>
    </row>
    <row r="71" spans="1:6" x14ac:dyDescent="0.35">
      <c r="A71" s="1">
        <f>COUNTA(A$12:A70)-1</f>
        <v>58</v>
      </c>
      <c r="B71" s="3">
        <f t="shared" si="5"/>
        <v>161</v>
      </c>
      <c r="C71" s="4">
        <f t="shared" si="0"/>
        <v>17.746174824241031</v>
      </c>
      <c r="D71" s="4">
        <f t="shared" si="1"/>
        <v>0.59316424370445731</v>
      </c>
      <c r="E71" s="5">
        <f t="shared" si="6"/>
        <v>17.75</v>
      </c>
      <c r="F71" t="str">
        <f t="shared" si="7"/>
        <v>&lt;Placemark&gt;&lt;name&gt;17.75,161&lt;/name&gt;&lt;Point&gt;&lt;coordinates&gt;161,17.75,0&lt;/coordinates&gt;&lt;/Point&gt;&lt;/Placemark&gt;</v>
      </c>
    </row>
    <row r="72" spans="1:6" x14ac:dyDescent="0.35">
      <c r="A72" s="1">
        <f>COUNTA(A$12:A71)-1</f>
        <v>59</v>
      </c>
      <c r="B72" s="3">
        <f t="shared" si="5"/>
        <v>160.75</v>
      </c>
      <c r="C72" s="4">
        <f t="shared" si="0"/>
        <v>18.33512003969151</v>
      </c>
      <c r="D72" s="4">
        <f t="shared" si="1"/>
        <v>0.58894521545047951</v>
      </c>
      <c r="E72" s="5">
        <f t="shared" si="6"/>
        <v>18.34</v>
      </c>
      <c r="F72" t="str">
        <f t="shared" si="7"/>
        <v>&lt;Placemark&gt;&lt;name&gt;18.34,160.75&lt;/name&gt;&lt;Point&gt;&lt;coordinates&gt;160.75,18.34,0&lt;/coordinates&gt;&lt;/Point&gt;&lt;/Placemark&gt;</v>
      </c>
    </row>
    <row r="73" spans="1:6" x14ac:dyDescent="0.35">
      <c r="A73" s="1">
        <f>COUNTA(A$12:A72)-1</f>
        <v>60</v>
      </c>
      <c r="B73" s="3">
        <f t="shared" si="5"/>
        <v>160.5</v>
      </c>
      <c r="C73" s="4">
        <f t="shared" si="0"/>
        <v>18.919756619931697</v>
      </c>
      <c r="D73" s="4">
        <f t="shared" si="1"/>
        <v>0.58463658024018628</v>
      </c>
      <c r="E73" s="5">
        <f t="shared" si="6"/>
        <v>18.920000000000002</v>
      </c>
      <c r="F73" t="str">
        <f t="shared" si="7"/>
        <v>&lt;Placemark&gt;&lt;name&gt;18.92,160.5&lt;/name&gt;&lt;Point&gt;&lt;coordinates&gt;160.5,18.92,0&lt;/coordinates&gt;&lt;/Point&gt;&lt;/Placemark&gt;</v>
      </c>
    </row>
    <row r="74" spans="1:6" x14ac:dyDescent="0.35">
      <c r="A74" s="1">
        <f>COUNTA(A$12:A73)-1</f>
        <v>61</v>
      </c>
      <c r="B74" s="3">
        <f t="shared" ref="B74" si="8">ROUND(B73,2)-0.25</f>
        <v>160.25</v>
      </c>
      <c r="C74" s="4">
        <f t="shared" si="0"/>
        <v>19.5</v>
      </c>
      <c r="D74" s="4">
        <f t="shared" si="1"/>
        <v>0.58024338006830334</v>
      </c>
      <c r="E74" s="5">
        <f t="shared" ref="E74" si="9">ROUND(C74,2)</f>
        <v>19.5</v>
      </c>
      <c r="F74" t="str">
        <f t="shared" ref="F74" si="10">"&lt;Placemark&gt;&lt;name&gt;"&amp;E74&amp;","&amp;B74&amp;"&lt;/name&gt;&lt;Point&gt;&lt;coordinates&gt;"&amp;B74&amp;","&amp;E74&amp;",0&lt;/coordinates&gt;&lt;/Point&gt;&lt;/Placemark&gt;"</f>
        <v>&lt;Placemark&gt;&lt;name&gt;19.5,160.25&lt;/name&gt;&lt;Point&gt;&lt;coordinates&gt;160.25,19.5,0&lt;/coordinates&gt;&lt;/Point&gt;&lt;/Placemark&gt;</v>
      </c>
    </row>
  </sheetData>
  <pageMargins left="0.7" right="0.7" top="0.75" bottom="0.75" header="0.3" footer="0.3"/>
  <pageSetup paperSize="9" orientation="portrait" r:id="rId1"/>
  <headerFooter>
    <oddFooter>&amp;C_x000D_&amp;1#&amp;"Aptos"&amp;9&amp;K00AEFF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DBDB-A900-4256-ADBF-9A57A51650D6}">
  <dimension ref="A1:E174"/>
  <sheetViews>
    <sheetView workbookViewId="0"/>
  </sheetViews>
  <sheetFormatPr defaultRowHeight="14.5" x14ac:dyDescent="0.35"/>
  <cols>
    <col min="1" max="1" width="9.54296875" bestFit="1" customWidth="1"/>
    <col min="2" max="2" width="5.08984375" bestFit="1" customWidth="1"/>
    <col min="5" max="5" width="27.1796875" bestFit="1" customWidth="1"/>
  </cols>
  <sheetData>
    <row r="1" spans="1:5" x14ac:dyDescent="0.35">
      <c r="A1" t="s">
        <v>34</v>
      </c>
      <c r="B1" t="s">
        <v>10</v>
      </c>
      <c r="C1" t="s">
        <v>32</v>
      </c>
      <c r="D1" t="s">
        <v>11</v>
      </c>
      <c r="E1" t="s">
        <v>14</v>
      </c>
    </row>
    <row r="2" spans="1:5" x14ac:dyDescent="0.35">
      <c r="E2" t="s">
        <v>20</v>
      </c>
    </row>
    <row r="3" spans="1:5" x14ac:dyDescent="0.35">
      <c r="E3" t="s">
        <v>31</v>
      </c>
    </row>
    <row r="4" spans="1:5" x14ac:dyDescent="0.35">
      <c r="E4" t="s">
        <v>21</v>
      </c>
    </row>
    <row r="5" spans="1:5" x14ac:dyDescent="0.35">
      <c r="E5" t="s">
        <v>33</v>
      </c>
    </row>
    <row r="6" spans="1:5" x14ac:dyDescent="0.35">
      <c r="E6" t="s">
        <v>22</v>
      </c>
    </row>
    <row r="7" spans="1:5" x14ac:dyDescent="0.35">
      <c r="E7" t="s">
        <v>23</v>
      </c>
    </row>
    <row r="8" spans="1:5" x14ac:dyDescent="0.35">
      <c r="E8" t="s">
        <v>24</v>
      </c>
    </row>
    <row r="9" spans="1:5" x14ac:dyDescent="0.35">
      <c r="E9" t="s">
        <v>25</v>
      </c>
    </row>
    <row r="10" spans="1:5" x14ac:dyDescent="0.35">
      <c r="A10" t="s">
        <v>35</v>
      </c>
      <c r="B10">
        <f>COUNTIFS(A$1:A10,A10)-1</f>
        <v>0</v>
      </c>
      <c r="C10" cm="1">
        <f t="array" aca="1" ref="C10" ca="1">_xlfn.XLOOKUP($B10,INDIRECT($A10&amp;"!A:A"),INDIRECT($A10&amp;"!B:B"),,0,1)</f>
        <v>160.25</v>
      </c>
      <c r="D10" cm="1">
        <f t="array" aca="1" ref="D10" ca="1">_xlfn.XLOOKUP($B10,INDIRECT($A10&amp;"!A:A"),INDIRECT($A10&amp;"!E:E"),,0,1)</f>
        <v>19.5</v>
      </c>
      <c r="E10" t="str">
        <f ca="1">"              "&amp;C10&amp;","&amp;D10&amp;",0"</f>
        <v xml:space="preserve">              160.25,19.5,0</v>
      </c>
    </row>
    <row r="11" spans="1:5" x14ac:dyDescent="0.35">
      <c r="A11" t="s">
        <v>35</v>
      </c>
      <c r="B11">
        <f>COUNTIFS(A$1:A11,A11)-1</f>
        <v>1</v>
      </c>
      <c r="C11" cm="1">
        <f t="array" aca="1" ref="C11" ca="1">_xlfn.XLOOKUP(B11,INDIRECT(A11&amp;"!A:A"),INDIRECT(A11&amp;"!B:B"),,0,1)</f>
        <v>160.5</v>
      </c>
      <c r="D11" cm="1">
        <f t="array" aca="1" ref="D11" ca="1">_xlfn.XLOOKUP($B11,INDIRECT($A11&amp;"!A:A"),INDIRECT($A11&amp;"!E:E"),,0,1)</f>
        <v>19.8</v>
      </c>
      <c r="E11" t="str">
        <f t="shared" ref="E11:E74" ca="1" si="0">"              "&amp;C11&amp;","&amp;D11&amp;",0"</f>
        <v xml:space="preserve">              160.5,19.8,0</v>
      </c>
    </row>
    <row r="12" spans="1:5" x14ac:dyDescent="0.35">
      <c r="A12" t="s">
        <v>35</v>
      </c>
      <c r="B12">
        <f>COUNTIFS(A$1:A12,A12)-1</f>
        <v>2</v>
      </c>
      <c r="C12" cm="1">
        <f t="array" aca="1" ref="C12" ca="1">_xlfn.XLOOKUP(B12,INDIRECT(A12&amp;"!A:A"),INDIRECT(A12&amp;"!B:B"),,0,1)</f>
        <v>160.75</v>
      </c>
      <c r="D12" cm="1">
        <f t="array" aca="1" ref="D12" ca="1">_xlfn.XLOOKUP($B12,INDIRECT($A12&amp;"!A:A"),INDIRECT($A12&amp;"!E:E"),,0,1)</f>
        <v>20.11</v>
      </c>
      <c r="E12" t="str">
        <f t="shared" ca="1" si="0"/>
        <v xml:space="preserve">              160.75,20.11,0</v>
      </c>
    </row>
    <row r="13" spans="1:5" x14ac:dyDescent="0.35">
      <c r="A13" t="s">
        <v>35</v>
      </c>
      <c r="B13">
        <f>COUNTIFS(A$1:A13,A13)-1</f>
        <v>3</v>
      </c>
      <c r="C13" cm="1">
        <f t="array" aca="1" ref="C13" ca="1">_xlfn.XLOOKUP(B13,INDIRECT(A13&amp;"!A:A"),INDIRECT(A13&amp;"!B:B"),,0,1)</f>
        <v>161</v>
      </c>
      <c r="D13" cm="1">
        <f t="array" aca="1" ref="D13" ca="1">_xlfn.XLOOKUP($B13,INDIRECT($A13&amp;"!A:A"),INDIRECT($A13&amp;"!E:E"),,0,1)</f>
        <v>20.41</v>
      </c>
      <c r="E13" t="str">
        <f t="shared" ca="1" si="0"/>
        <v xml:space="preserve">              161,20.41,0</v>
      </c>
    </row>
    <row r="14" spans="1:5" x14ac:dyDescent="0.35">
      <c r="A14" t="s">
        <v>35</v>
      </c>
      <c r="B14">
        <f>COUNTIFS(A$1:A14,A14)-1</f>
        <v>4</v>
      </c>
      <c r="C14" cm="1">
        <f t="array" aca="1" ref="C14" ca="1">_xlfn.XLOOKUP(B14,INDIRECT(A14&amp;"!A:A"),INDIRECT(A14&amp;"!B:B"),,0,1)</f>
        <v>161.25</v>
      </c>
      <c r="D14" cm="1">
        <f t="array" aca="1" ref="D14" ca="1">_xlfn.XLOOKUP($B14,INDIRECT($A14&amp;"!A:A"),INDIRECT($A14&amp;"!E:E"),,0,1)</f>
        <v>20.7</v>
      </c>
      <c r="E14" t="str">
        <f t="shared" ca="1" si="0"/>
        <v xml:space="preserve">              161.25,20.7,0</v>
      </c>
    </row>
    <row r="15" spans="1:5" x14ac:dyDescent="0.35">
      <c r="A15" t="s">
        <v>35</v>
      </c>
      <c r="B15">
        <f>COUNTIFS(A$1:A15,A15)-1</f>
        <v>5</v>
      </c>
      <c r="C15" cm="1">
        <f t="array" aca="1" ref="C15" ca="1">_xlfn.XLOOKUP(B15,INDIRECT(A15&amp;"!A:A"),INDIRECT(A15&amp;"!B:B"),,0,1)</f>
        <v>161.5</v>
      </c>
      <c r="D15" cm="1">
        <f t="array" aca="1" ref="D15" ca="1">_xlfn.XLOOKUP($B15,INDIRECT($A15&amp;"!A:A"),INDIRECT($A15&amp;"!E:E"),,0,1)</f>
        <v>21</v>
      </c>
      <c r="E15" t="str">
        <f t="shared" ca="1" si="0"/>
        <v xml:space="preserve">              161.5,21,0</v>
      </c>
    </row>
    <row r="16" spans="1:5" x14ac:dyDescent="0.35">
      <c r="A16" t="s">
        <v>35</v>
      </c>
      <c r="B16">
        <f>COUNTIFS(A$1:A16,A16)-1</f>
        <v>6</v>
      </c>
      <c r="C16" cm="1">
        <f t="array" aca="1" ref="C16" ca="1">_xlfn.XLOOKUP(B16,INDIRECT(A16&amp;"!A:A"),INDIRECT(A16&amp;"!B:B"),,0,1)</f>
        <v>161.75</v>
      </c>
      <c r="D16" cm="1">
        <f t="array" aca="1" ref="D16" ca="1">_xlfn.XLOOKUP($B16,INDIRECT($A16&amp;"!A:A"),INDIRECT($A16&amp;"!E:E"),,0,1)</f>
        <v>21.3</v>
      </c>
      <c r="E16" t="str">
        <f t="shared" ca="1" si="0"/>
        <v xml:space="preserve">              161.75,21.3,0</v>
      </c>
    </row>
    <row r="17" spans="1:5" x14ac:dyDescent="0.35">
      <c r="A17" t="s">
        <v>35</v>
      </c>
      <c r="B17">
        <f>COUNTIFS(A$1:A17,A17)-1</f>
        <v>7</v>
      </c>
      <c r="C17" cm="1">
        <f t="array" aca="1" ref="C17" ca="1">_xlfn.XLOOKUP(B17,INDIRECT(A17&amp;"!A:A"),INDIRECT(A17&amp;"!B:B"),,0,1)</f>
        <v>162</v>
      </c>
      <c r="D17" cm="1">
        <f t="array" aca="1" ref="D17" ca="1">_xlfn.XLOOKUP($B17,INDIRECT($A17&amp;"!A:A"),INDIRECT($A17&amp;"!E:E"),,0,1)</f>
        <v>21.59</v>
      </c>
      <c r="E17" t="str">
        <f t="shared" ca="1" si="0"/>
        <v xml:space="preserve">              162,21.59,0</v>
      </c>
    </row>
    <row r="18" spans="1:5" x14ac:dyDescent="0.35">
      <c r="A18" t="s">
        <v>35</v>
      </c>
      <c r="B18">
        <f>COUNTIFS(A$1:A18,A18)-1</f>
        <v>8</v>
      </c>
      <c r="C18" cm="1">
        <f t="array" aca="1" ref="C18" ca="1">_xlfn.XLOOKUP(B18,INDIRECT(A18&amp;"!A:A"),INDIRECT(A18&amp;"!B:B"),,0,1)</f>
        <v>162.25</v>
      </c>
      <c r="D18" cm="1">
        <f t="array" aca="1" ref="D18" ca="1">_xlfn.XLOOKUP($B18,INDIRECT($A18&amp;"!A:A"),INDIRECT($A18&amp;"!E:E"),,0,1)</f>
        <v>21.89</v>
      </c>
      <c r="E18" t="str">
        <f t="shared" ca="1" si="0"/>
        <v xml:space="preserve">              162.25,21.89,0</v>
      </c>
    </row>
    <row r="19" spans="1:5" x14ac:dyDescent="0.35">
      <c r="A19" t="s">
        <v>35</v>
      </c>
      <c r="B19">
        <f>COUNTIFS(A$1:A19,A19)-1</f>
        <v>9</v>
      </c>
      <c r="C19" cm="1">
        <f t="array" aca="1" ref="C19" ca="1">_xlfn.XLOOKUP(B19,INDIRECT(A19&amp;"!A:A"),INDIRECT(A19&amp;"!B:B"),,0,1)</f>
        <v>162.5</v>
      </c>
      <c r="D19" cm="1">
        <f t="array" aca="1" ref="D19" ca="1">_xlfn.XLOOKUP($B19,INDIRECT($A19&amp;"!A:A"),INDIRECT($A19&amp;"!E:E"),,0,1)</f>
        <v>22.18</v>
      </c>
      <c r="E19" t="str">
        <f t="shared" ca="1" si="0"/>
        <v xml:space="preserve">              162.5,22.18,0</v>
      </c>
    </row>
    <row r="20" spans="1:5" x14ac:dyDescent="0.35">
      <c r="A20" t="s">
        <v>35</v>
      </c>
      <c r="B20">
        <f>COUNTIFS(A$1:A20,A20)-1</f>
        <v>10</v>
      </c>
      <c r="C20" cm="1">
        <f t="array" aca="1" ref="C20" ca="1">_xlfn.XLOOKUP(B20,INDIRECT(A20&amp;"!A:A"),INDIRECT(A20&amp;"!B:B"),,0,1)</f>
        <v>162.75</v>
      </c>
      <c r="D20" cm="1">
        <f t="array" aca="1" ref="D20" ca="1">_xlfn.XLOOKUP($B20,INDIRECT($A20&amp;"!A:A"),INDIRECT($A20&amp;"!E:E"),,0,1)</f>
        <v>22.47</v>
      </c>
      <c r="E20" t="str">
        <f t="shared" ca="1" si="0"/>
        <v xml:space="preserve">              162.75,22.47,0</v>
      </c>
    </row>
    <row r="21" spans="1:5" x14ac:dyDescent="0.35">
      <c r="A21" t="s">
        <v>35</v>
      </c>
      <c r="B21">
        <f>COUNTIFS(A$1:A21,A21)-1</f>
        <v>11</v>
      </c>
      <c r="C21" cm="1">
        <f t="array" aca="1" ref="C21" ca="1">_xlfn.XLOOKUP(B21,INDIRECT(A21&amp;"!A:A"),INDIRECT(A21&amp;"!B:B"),,0,1)</f>
        <v>163</v>
      </c>
      <c r="D21" cm="1">
        <f t="array" aca="1" ref="D21" ca="1">_xlfn.XLOOKUP($B21,INDIRECT($A21&amp;"!A:A"),INDIRECT($A21&amp;"!E:E"),,0,1)</f>
        <v>22.75</v>
      </c>
      <c r="E21" t="str">
        <f t="shared" ca="1" si="0"/>
        <v xml:space="preserve">              163,22.75,0</v>
      </c>
    </row>
    <row r="22" spans="1:5" x14ac:dyDescent="0.35">
      <c r="A22" t="s">
        <v>35</v>
      </c>
      <c r="B22">
        <f>COUNTIFS(A$1:A22,A22)-1</f>
        <v>12</v>
      </c>
      <c r="C22" cm="1">
        <f t="array" aca="1" ref="C22" ca="1">_xlfn.XLOOKUP(B22,INDIRECT(A22&amp;"!A:A"),INDIRECT(A22&amp;"!B:B"),,0,1)</f>
        <v>163.25</v>
      </c>
      <c r="D22" cm="1">
        <f t="array" aca="1" ref="D22" ca="1">_xlfn.XLOOKUP($B22,INDIRECT($A22&amp;"!A:A"),INDIRECT($A22&amp;"!E:E"),,0,1)</f>
        <v>23.04</v>
      </c>
      <c r="E22" t="str">
        <f t="shared" ca="1" si="0"/>
        <v xml:space="preserve">              163.25,23.04,0</v>
      </c>
    </row>
    <row r="23" spans="1:5" x14ac:dyDescent="0.35">
      <c r="A23" t="s">
        <v>35</v>
      </c>
      <c r="B23">
        <f>COUNTIFS(A$1:A23,A23)-1</f>
        <v>13</v>
      </c>
      <c r="C23" cm="1">
        <f t="array" aca="1" ref="C23" ca="1">_xlfn.XLOOKUP(B23,INDIRECT(A23&amp;"!A:A"),INDIRECT(A23&amp;"!B:B"),,0,1)</f>
        <v>163.5</v>
      </c>
      <c r="D23" cm="1">
        <f t="array" aca="1" ref="D23" ca="1">_xlfn.XLOOKUP($B23,INDIRECT($A23&amp;"!A:A"),INDIRECT($A23&amp;"!E:E"),,0,1)</f>
        <v>23.33</v>
      </c>
      <c r="E23" t="str">
        <f t="shared" ca="1" si="0"/>
        <v xml:space="preserve">              163.5,23.33,0</v>
      </c>
    </row>
    <row r="24" spans="1:5" x14ac:dyDescent="0.35">
      <c r="A24" t="s">
        <v>35</v>
      </c>
      <c r="B24">
        <f>COUNTIFS(A$1:A24,A24)-1</f>
        <v>14</v>
      </c>
      <c r="C24" cm="1">
        <f t="array" aca="1" ref="C24" ca="1">_xlfn.XLOOKUP(B24,INDIRECT(A24&amp;"!A:A"),INDIRECT(A24&amp;"!B:B"),,0,1)</f>
        <v>163.75</v>
      </c>
      <c r="D24" cm="1">
        <f t="array" aca="1" ref="D24" ca="1">_xlfn.XLOOKUP($B24,INDIRECT($A24&amp;"!A:A"),INDIRECT($A24&amp;"!E:E"),,0,1)</f>
        <v>23.61</v>
      </c>
      <c r="E24" t="str">
        <f t="shared" ca="1" si="0"/>
        <v xml:space="preserve">              163.75,23.61,0</v>
      </c>
    </row>
    <row r="25" spans="1:5" x14ac:dyDescent="0.35">
      <c r="A25" t="s">
        <v>35</v>
      </c>
      <c r="B25">
        <f>COUNTIFS(A$1:A25,A25)-1</f>
        <v>15</v>
      </c>
      <c r="C25" cm="1">
        <f t="array" aca="1" ref="C25" ca="1">_xlfn.XLOOKUP(B25,INDIRECT(A25&amp;"!A:A"),INDIRECT(A25&amp;"!B:B"),,0,1)</f>
        <v>164</v>
      </c>
      <c r="D25" cm="1">
        <f t="array" aca="1" ref="D25" ca="1">_xlfn.XLOOKUP($B25,INDIRECT($A25&amp;"!A:A"),INDIRECT($A25&amp;"!E:E"),,0,1)</f>
        <v>23.89</v>
      </c>
      <c r="E25" t="str">
        <f t="shared" ca="1" si="0"/>
        <v xml:space="preserve">              164,23.89,0</v>
      </c>
    </row>
    <row r="26" spans="1:5" x14ac:dyDescent="0.35">
      <c r="A26" t="s">
        <v>35</v>
      </c>
      <c r="B26">
        <f>COUNTIFS(A$1:A26,A26)-1</f>
        <v>16</v>
      </c>
      <c r="C26" cm="1">
        <f t="array" aca="1" ref="C26" ca="1">_xlfn.XLOOKUP(B26,INDIRECT(A26&amp;"!A:A"),INDIRECT(A26&amp;"!B:B"),,0,1)</f>
        <v>164.25</v>
      </c>
      <c r="D26" cm="1">
        <f t="array" aca="1" ref="D26" ca="1">_xlfn.XLOOKUP($B26,INDIRECT($A26&amp;"!A:A"),INDIRECT($A26&amp;"!E:E"),,0,1)</f>
        <v>24.17</v>
      </c>
      <c r="E26" t="str">
        <f t="shared" ca="1" si="0"/>
        <v xml:space="preserve">              164.25,24.17,0</v>
      </c>
    </row>
    <row r="27" spans="1:5" x14ac:dyDescent="0.35">
      <c r="A27" t="s">
        <v>35</v>
      </c>
      <c r="B27">
        <f>COUNTIFS(A$1:A27,A27)-1</f>
        <v>17</v>
      </c>
      <c r="C27" cm="1">
        <f t="array" aca="1" ref="C27" ca="1">_xlfn.XLOOKUP(B27,INDIRECT(A27&amp;"!A:A"),INDIRECT(A27&amp;"!B:B"),,0,1)</f>
        <v>164.5</v>
      </c>
      <c r="D27" cm="1">
        <f t="array" aca="1" ref="D27" ca="1">_xlfn.XLOOKUP($B27,INDIRECT($A27&amp;"!A:A"),INDIRECT($A27&amp;"!E:E"),,0,1)</f>
        <v>24.45</v>
      </c>
      <c r="E27" t="str">
        <f t="shared" ca="1" si="0"/>
        <v xml:space="preserve">              164.5,24.45,0</v>
      </c>
    </row>
    <row r="28" spans="1:5" x14ac:dyDescent="0.35">
      <c r="A28" t="s">
        <v>35</v>
      </c>
      <c r="B28">
        <f>COUNTIFS(A$1:A28,A28)-1</f>
        <v>18</v>
      </c>
      <c r="C28" cm="1">
        <f t="array" aca="1" ref="C28" ca="1">_xlfn.XLOOKUP(B28,INDIRECT(A28&amp;"!A:A"),INDIRECT(A28&amp;"!B:B"),,0,1)</f>
        <v>164.75</v>
      </c>
      <c r="D28" cm="1">
        <f t="array" aca="1" ref="D28" ca="1">_xlfn.XLOOKUP($B28,INDIRECT($A28&amp;"!A:A"),INDIRECT($A28&amp;"!E:E"),,0,1)</f>
        <v>24.73</v>
      </c>
      <c r="E28" t="str">
        <f t="shared" ca="1" si="0"/>
        <v xml:space="preserve">              164.75,24.73,0</v>
      </c>
    </row>
    <row r="29" spans="1:5" x14ac:dyDescent="0.35">
      <c r="A29" t="s">
        <v>35</v>
      </c>
      <c r="B29">
        <f>COUNTIFS(A$1:A29,A29)-1</f>
        <v>19</v>
      </c>
      <c r="C29" cm="1">
        <f t="array" aca="1" ref="C29" ca="1">_xlfn.XLOOKUP(B29,INDIRECT(A29&amp;"!A:A"),INDIRECT(A29&amp;"!B:B"),,0,1)</f>
        <v>165</v>
      </c>
      <c r="D29" cm="1">
        <f t="array" aca="1" ref="D29" ca="1">_xlfn.XLOOKUP($B29,INDIRECT($A29&amp;"!A:A"),INDIRECT($A29&amp;"!E:E"),,0,1)</f>
        <v>25</v>
      </c>
      <c r="E29" t="str">
        <f t="shared" ca="1" si="0"/>
        <v xml:space="preserve">              165,25,0</v>
      </c>
    </row>
    <row r="30" spans="1:5" x14ac:dyDescent="0.35">
      <c r="A30" t="s">
        <v>35</v>
      </c>
      <c r="B30">
        <f>COUNTIFS(A$1:A30,A30)-1</f>
        <v>20</v>
      </c>
      <c r="C30" cm="1">
        <f t="array" aca="1" ref="C30" ca="1">_xlfn.XLOOKUP(B30,INDIRECT(A30&amp;"!A:A"),INDIRECT(A30&amp;"!B:B"),,0,1)</f>
        <v>165.25</v>
      </c>
      <c r="D30" cm="1">
        <f t="array" aca="1" ref="D30" ca="1">_xlfn.XLOOKUP($B30,INDIRECT($A30&amp;"!A:A"),INDIRECT($A30&amp;"!E:E"),,0,1)</f>
        <v>25.27</v>
      </c>
      <c r="E30" t="str">
        <f t="shared" ca="1" si="0"/>
        <v xml:space="preserve">              165.25,25.27,0</v>
      </c>
    </row>
    <row r="31" spans="1:5" x14ac:dyDescent="0.35">
      <c r="A31" t="s">
        <v>35</v>
      </c>
      <c r="B31">
        <f>COUNTIFS(A$1:A31,A31)-1</f>
        <v>21</v>
      </c>
      <c r="C31" cm="1">
        <f t="array" aca="1" ref="C31" ca="1">_xlfn.XLOOKUP(B31,INDIRECT(A31&amp;"!A:A"),INDIRECT(A31&amp;"!B:B"),,0,1)</f>
        <v>165.5</v>
      </c>
      <c r="D31" cm="1">
        <f t="array" aca="1" ref="D31" ca="1">_xlfn.XLOOKUP($B31,INDIRECT($A31&amp;"!A:A"),INDIRECT($A31&amp;"!E:E"),,0,1)</f>
        <v>25.55</v>
      </c>
      <c r="E31" t="str">
        <f t="shared" ca="1" si="0"/>
        <v xml:space="preserve">              165.5,25.55,0</v>
      </c>
    </row>
    <row r="32" spans="1:5" x14ac:dyDescent="0.35">
      <c r="A32" t="s">
        <v>35</v>
      </c>
      <c r="B32">
        <f>COUNTIFS(A$1:A32,A32)-1</f>
        <v>22</v>
      </c>
      <c r="C32" cm="1">
        <f t="array" aca="1" ref="C32" ca="1">_xlfn.XLOOKUP(B32,INDIRECT(A32&amp;"!A:A"),INDIRECT(A32&amp;"!B:B"),,0,1)</f>
        <v>165.75</v>
      </c>
      <c r="D32" cm="1">
        <f t="array" aca="1" ref="D32" ca="1">_xlfn.XLOOKUP($B32,INDIRECT($A32&amp;"!A:A"),INDIRECT($A32&amp;"!E:E"),,0,1)</f>
        <v>25.82</v>
      </c>
      <c r="E32" t="str">
        <f t="shared" ca="1" si="0"/>
        <v xml:space="preserve">              165.75,25.82,0</v>
      </c>
    </row>
    <row r="33" spans="1:5" x14ac:dyDescent="0.35">
      <c r="A33" t="s">
        <v>35</v>
      </c>
      <c r="B33">
        <f>COUNTIFS(A$1:A33,A33)-1</f>
        <v>23</v>
      </c>
      <c r="C33" cm="1">
        <f t="array" aca="1" ref="C33" ca="1">_xlfn.XLOOKUP(B33,INDIRECT(A33&amp;"!A:A"),INDIRECT(A33&amp;"!B:B"),,0,1)</f>
        <v>166</v>
      </c>
      <c r="D33" cm="1">
        <f t="array" aca="1" ref="D33" ca="1">_xlfn.XLOOKUP($B33,INDIRECT($A33&amp;"!A:A"),INDIRECT($A33&amp;"!E:E"),,0,1)</f>
        <v>26.08</v>
      </c>
      <c r="E33" t="str">
        <f t="shared" ca="1" si="0"/>
        <v xml:space="preserve">              166,26.08,0</v>
      </c>
    </row>
    <row r="34" spans="1:5" x14ac:dyDescent="0.35">
      <c r="A34" t="s">
        <v>35</v>
      </c>
      <c r="B34">
        <f>COUNTIFS(A$1:A34,A34)-1</f>
        <v>24</v>
      </c>
      <c r="C34" cm="1">
        <f t="array" aca="1" ref="C34" ca="1">_xlfn.XLOOKUP(B34,INDIRECT(A34&amp;"!A:A"),INDIRECT(A34&amp;"!B:B"),,0,1)</f>
        <v>166.25</v>
      </c>
      <c r="D34" cm="1">
        <f t="array" aca="1" ref="D34" ca="1">_xlfn.XLOOKUP($B34,INDIRECT($A34&amp;"!A:A"),INDIRECT($A34&amp;"!E:E"),,0,1)</f>
        <v>26.35</v>
      </c>
      <c r="E34" t="str">
        <f t="shared" ca="1" si="0"/>
        <v xml:space="preserve">              166.25,26.35,0</v>
      </c>
    </row>
    <row r="35" spans="1:5" x14ac:dyDescent="0.35">
      <c r="A35" t="s">
        <v>35</v>
      </c>
      <c r="B35">
        <f>COUNTIFS(A$1:A35,A35)-1</f>
        <v>25</v>
      </c>
      <c r="C35" cm="1">
        <f t="array" aca="1" ref="C35" ca="1">_xlfn.XLOOKUP(B35,INDIRECT(A35&amp;"!A:A"),INDIRECT(A35&amp;"!B:B"),,0,1)</f>
        <v>166.5</v>
      </c>
      <c r="D35" cm="1">
        <f t="array" aca="1" ref="D35" ca="1">_xlfn.XLOOKUP($B35,INDIRECT($A35&amp;"!A:A"),INDIRECT($A35&amp;"!E:E"),,0,1)</f>
        <v>26.62</v>
      </c>
      <c r="E35" t="str">
        <f t="shared" ca="1" si="0"/>
        <v xml:space="preserve">              166.5,26.62,0</v>
      </c>
    </row>
    <row r="36" spans="1:5" x14ac:dyDescent="0.35">
      <c r="A36" t="s">
        <v>35</v>
      </c>
      <c r="B36">
        <f>COUNTIFS(A$1:A36,A36)-1</f>
        <v>26</v>
      </c>
      <c r="C36" cm="1">
        <f t="array" aca="1" ref="C36" ca="1">_xlfn.XLOOKUP(B36,INDIRECT(A36&amp;"!A:A"),INDIRECT(A36&amp;"!B:B"),,0,1)</f>
        <v>166.75</v>
      </c>
      <c r="D36" cm="1">
        <f t="array" aca="1" ref="D36" ca="1">_xlfn.XLOOKUP($B36,INDIRECT($A36&amp;"!A:A"),INDIRECT($A36&amp;"!E:E"),,0,1)</f>
        <v>26.88</v>
      </c>
      <c r="E36" t="str">
        <f t="shared" ca="1" si="0"/>
        <v xml:space="preserve">              166.75,26.88,0</v>
      </c>
    </row>
    <row r="37" spans="1:5" x14ac:dyDescent="0.35">
      <c r="A37" t="s">
        <v>35</v>
      </c>
      <c r="B37">
        <f>COUNTIFS(A$1:A37,A37)-1</f>
        <v>27</v>
      </c>
      <c r="C37" cm="1">
        <f t="array" aca="1" ref="C37" ca="1">_xlfn.XLOOKUP(B37,INDIRECT(A37&amp;"!A:A"),INDIRECT(A37&amp;"!B:B"),,0,1)</f>
        <v>167</v>
      </c>
      <c r="D37" cm="1">
        <f t="array" aca="1" ref="D37" ca="1">_xlfn.XLOOKUP($B37,INDIRECT($A37&amp;"!A:A"),INDIRECT($A37&amp;"!E:E"),,0,1)</f>
        <v>27.14</v>
      </c>
      <c r="E37" t="str">
        <f t="shared" ca="1" si="0"/>
        <v xml:space="preserve">              167,27.14,0</v>
      </c>
    </row>
    <row r="38" spans="1:5" x14ac:dyDescent="0.35">
      <c r="A38" t="s">
        <v>35</v>
      </c>
      <c r="B38">
        <f>COUNTIFS(A$1:A38,A38)-1</f>
        <v>28</v>
      </c>
      <c r="C38" cm="1">
        <f t="array" aca="1" ref="C38" ca="1">_xlfn.XLOOKUP(B38,INDIRECT(A38&amp;"!A:A"),INDIRECT(A38&amp;"!B:B"),,0,1)</f>
        <v>167.25</v>
      </c>
      <c r="D38" cm="1">
        <f t="array" aca="1" ref="D38" ca="1">_xlfn.XLOOKUP($B38,INDIRECT($A38&amp;"!A:A"),INDIRECT($A38&amp;"!E:E"),,0,1)</f>
        <v>27.4</v>
      </c>
      <c r="E38" t="str">
        <f t="shared" ca="1" si="0"/>
        <v xml:space="preserve">              167.25,27.4,0</v>
      </c>
    </row>
    <row r="39" spans="1:5" x14ac:dyDescent="0.35">
      <c r="A39" t="s">
        <v>35</v>
      </c>
      <c r="B39">
        <f>COUNTIFS(A$1:A39,A39)-1</f>
        <v>29</v>
      </c>
      <c r="C39" cm="1">
        <f t="array" aca="1" ref="C39" ca="1">_xlfn.XLOOKUP(B39,INDIRECT(A39&amp;"!A:A"),INDIRECT(A39&amp;"!B:B"),,0,1)</f>
        <v>167.5</v>
      </c>
      <c r="D39" cm="1">
        <f t="array" aca="1" ref="D39" ca="1">_xlfn.XLOOKUP($B39,INDIRECT($A39&amp;"!A:A"),INDIRECT($A39&amp;"!E:E"),,0,1)</f>
        <v>27.66</v>
      </c>
      <c r="E39" t="str">
        <f t="shared" ca="1" si="0"/>
        <v xml:space="preserve">              167.5,27.66,0</v>
      </c>
    </row>
    <row r="40" spans="1:5" x14ac:dyDescent="0.35">
      <c r="A40" t="s">
        <v>35</v>
      </c>
      <c r="B40">
        <f>COUNTIFS(A$1:A40,A40)-1</f>
        <v>30</v>
      </c>
      <c r="C40" cm="1">
        <f t="array" aca="1" ref="C40" ca="1">_xlfn.XLOOKUP(B40,INDIRECT(A40&amp;"!A:A"),INDIRECT(A40&amp;"!B:B"),,0,1)</f>
        <v>167.75</v>
      </c>
      <c r="D40" cm="1">
        <f t="array" aca="1" ref="D40" ca="1">_xlfn.XLOOKUP($B40,INDIRECT($A40&amp;"!A:A"),INDIRECT($A40&amp;"!E:E"),,0,1)</f>
        <v>27.92</v>
      </c>
      <c r="E40" t="str">
        <f t="shared" ca="1" si="0"/>
        <v xml:space="preserve">              167.75,27.92,0</v>
      </c>
    </row>
    <row r="41" spans="1:5" x14ac:dyDescent="0.35">
      <c r="A41" t="s">
        <v>35</v>
      </c>
      <c r="B41">
        <f>COUNTIFS(A$1:A41,A41)-1</f>
        <v>31</v>
      </c>
      <c r="C41" cm="1">
        <f t="array" aca="1" ref="C41" ca="1">_xlfn.XLOOKUP(B41,INDIRECT(A41&amp;"!A:A"),INDIRECT(A41&amp;"!B:B"),,0,1)</f>
        <v>168</v>
      </c>
      <c r="D41" cm="1">
        <f t="array" aca="1" ref="D41" ca="1">_xlfn.XLOOKUP($B41,INDIRECT($A41&amp;"!A:A"),INDIRECT($A41&amp;"!E:E"),,0,1)</f>
        <v>28.17</v>
      </c>
      <c r="E41" t="str">
        <f t="shared" ca="1" si="0"/>
        <v xml:space="preserve">              168,28.17,0</v>
      </c>
    </row>
    <row r="42" spans="1:5" x14ac:dyDescent="0.35">
      <c r="A42" t="s">
        <v>35</v>
      </c>
      <c r="B42">
        <f>COUNTIFS(A$1:A42,A42)-1</f>
        <v>32</v>
      </c>
      <c r="C42" cm="1">
        <f t="array" aca="1" ref="C42" ca="1">_xlfn.XLOOKUP(B42,INDIRECT(A42&amp;"!A:A"),INDIRECT(A42&amp;"!B:B"),,0,1)</f>
        <v>168.25</v>
      </c>
      <c r="D42" cm="1">
        <f t="array" aca="1" ref="D42" ca="1">_xlfn.XLOOKUP($B42,INDIRECT($A42&amp;"!A:A"),INDIRECT($A42&amp;"!E:E"),,0,1)</f>
        <v>28.43</v>
      </c>
      <c r="E42" t="str">
        <f t="shared" ca="1" si="0"/>
        <v xml:space="preserve">              168.25,28.43,0</v>
      </c>
    </row>
    <row r="43" spans="1:5" x14ac:dyDescent="0.35">
      <c r="A43" t="s">
        <v>35</v>
      </c>
      <c r="B43">
        <f>COUNTIFS(A$1:A43,A43)-1</f>
        <v>33</v>
      </c>
      <c r="C43" cm="1">
        <f t="array" aca="1" ref="C43" ca="1">_xlfn.XLOOKUP(B43,INDIRECT(A43&amp;"!A:A"),INDIRECT(A43&amp;"!B:B"),,0,1)</f>
        <v>168.5</v>
      </c>
      <c r="D43" cm="1">
        <f t="array" aca="1" ref="D43" ca="1">_xlfn.XLOOKUP($B43,INDIRECT($A43&amp;"!A:A"),INDIRECT($A43&amp;"!E:E"),,0,1)</f>
        <v>28.68</v>
      </c>
      <c r="E43" t="str">
        <f t="shared" ca="1" si="0"/>
        <v xml:space="preserve">              168.5,28.68,0</v>
      </c>
    </row>
    <row r="44" spans="1:5" x14ac:dyDescent="0.35">
      <c r="A44" t="s">
        <v>35</v>
      </c>
      <c r="B44">
        <f>COUNTIFS(A$1:A44,A44)-1</f>
        <v>34</v>
      </c>
      <c r="C44" cm="1">
        <f t="array" aca="1" ref="C44" ca="1">_xlfn.XLOOKUP(B44,INDIRECT(A44&amp;"!A:A"),INDIRECT(A44&amp;"!B:B"),,0,1)</f>
        <v>168.75</v>
      </c>
      <c r="D44" cm="1">
        <f t="array" aca="1" ref="D44" ca="1">_xlfn.XLOOKUP($B44,INDIRECT($A44&amp;"!A:A"),INDIRECT($A44&amp;"!E:E"),,0,1)</f>
        <v>28.93</v>
      </c>
      <c r="E44" t="str">
        <f t="shared" ca="1" si="0"/>
        <v xml:space="preserve">              168.75,28.93,0</v>
      </c>
    </row>
    <row r="45" spans="1:5" x14ac:dyDescent="0.35">
      <c r="A45" t="s">
        <v>35</v>
      </c>
      <c r="B45">
        <f>COUNTIFS(A$1:A45,A45)-1</f>
        <v>35</v>
      </c>
      <c r="C45" cm="1">
        <f t="array" aca="1" ref="C45" ca="1">_xlfn.XLOOKUP(B45,INDIRECT(A45&amp;"!A:A"),INDIRECT(A45&amp;"!B:B"),,0,1)</f>
        <v>169</v>
      </c>
      <c r="D45" cm="1">
        <f t="array" aca="1" ref="D45" ca="1">_xlfn.XLOOKUP($B45,INDIRECT($A45&amp;"!A:A"),INDIRECT($A45&amp;"!E:E"),,0,1)</f>
        <v>29.18</v>
      </c>
      <c r="E45" t="str">
        <f t="shared" ca="1" si="0"/>
        <v xml:space="preserve">              169,29.18,0</v>
      </c>
    </row>
    <row r="46" spans="1:5" x14ac:dyDescent="0.35">
      <c r="A46" t="s">
        <v>35</v>
      </c>
      <c r="B46">
        <f>COUNTIFS(A$1:A46,A46)-1</f>
        <v>36</v>
      </c>
      <c r="C46" cm="1">
        <f t="array" aca="1" ref="C46" ca="1">_xlfn.XLOOKUP(B46,INDIRECT(A46&amp;"!A:A"),INDIRECT(A46&amp;"!B:B"),,0,1)</f>
        <v>169.25</v>
      </c>
      <c r="D46" cm="1">
        <f t="array" aca="1" ref="D46" ca="1">_xlfn.XLOOKUP($B46,INDIRECT($A46&amp;"!A:A"),INDIRECT($A46&amp;"!E:E"),,0,1)</f>
        <v>29.42</v>
      </c>
      <c r="E46" t="str">
        <f t="shared" ca="1" si="0"/>
        <v xml:space="preserve">              169.25,29.42,0</v>
      </c>
    </row>
    <row r="47" spans="1:5" x14ac:dyDescent="0.35">
      <c r="A47" t="s">
        <v>35</v>
      </c>
      <c r="B47">
        <f>COUNTIFS(A$1:A47,A47)-1</f>
        <v>37</v>
      </c>
      <c r="C47" cm="1">
        <f t="array" aca="1" ref="C47" ca="1">_xlfn.XLOOKUP(B47,INDIRECT(A47&amp;"!A:A"),INDIRECT(A47&amp;"!B:B"),,0,1)</f>
        <v>169.5</v>
      </c>
      <c r="D47" cm="1">
        <f t="array" aca="1" ref="D47" ca="1">_xlfn.XLOOKUP($B47,INDIRECT($A47&amp;"!A:A"),INDIRECT($A47&amp;"!E:E"),,0,1)</f>
        <v>29.67</v>
      </c>
      <c r="E47" t="str">
        <f t="shared" ca="1" si="0"/>
        <v xml:space="preserve">              169.5,29.67,0</v>
      </c>
    </row>
    <row r="48" spans="1:5" x14ac:dyDescent="0.35">
      <c r="A48" t="s">
        <v>35</v>
      </c>
      <c r="B48">
        <f>COUNTIFS(A$1:A48,A48)-1</f>
        <v>38</v>
      </c>
      <c r="C48" cm="1">
        <f t="array" aca="1" ref="C48" ca="1">_xlfn.XLOOKUP(B48,INDIRECT(A48&amp;"!A:A"),INDIRECT(A48&amp;"!B:B"),,0,1)</f>
        <v>169.75</v>
      </c>
      <c r="D48" cm="1">
        <f t="array" aca="1" ref="D48" ca="1">_xlfn.XLOOKUP($B48,INDIRECT($A48&amp;"!A:A"),INDIRECT($A48&amp;"!E:E"),,0,1)</f>
        <v>29.91</v>
      </c>
      <c r="E48" t="str">
        <f t="shared" ca="1" si="0"/>
        <v xml:space="preserve">              169.75,29.91,0</v>
      </c>
    </row>
    <row r="49" spans="1:5" x14ac:dyDescent="0.35">
      <c r="A49" t="s">
        <v>35</v>
      </c>
      <c r="B49">
        <f>COUNTIFS(A$1:A49,A49)-1</f>
        <v>39</v>
      </c>
      <c r="C49" cm="1">
        <f t="array" aca="1" ref="C49" ca="1">_xlfn.XLOOKUP(B49,INDIRECT(A49&amp;"!A:A"),INDIRECT(A49&amp;"!B:B"),,0,1)</f>
        <v>170</v>
      </c>
      <c r="D49" cm="1">
        <f t="array" aca="1" ref="D49" ca="1">_xlfn.XLOOKUP($B49,INDIRECT($A49&amp;"!A:A"),INDIRECT($A49&amp;"!E:E"),,0,1)</f>
        <v>30.15</v>
      </c>
      <c r="E49" t="str">
        <f t="shared" ca="1" si="0"/>
        <v xml:space="preserve">              170,30.15,0</v>
      </c>
    </row>
    <row r="50" spans="1:5" x14ac:dyDescent="0.35">
      <c r="A50" t="s">
        <v>35</v>
      </c>
      <c r="B50">
        <f>COUNTIFS(A$1:A50,A50)-1</f>
        <v>40</v>
      </c>
      <c r="C50" cm="1">
        <f t="array" aca="1" ref="C50" ca="1">_xlfn.XLOOKUP(B50,INDIRECT(A50&amp;"!A:A"),INDIRECT(A50&amp;"!B:B"),,0,1)</f>
        <v>170.25</v>
      </c>
      <c r="D50" cm="1">
        <f t="array" aca="1" ref="D50" ca="1">_xlfn.XLOOKUP($B50,INDIRECT($A50&amp;"!A:A"),INDIRECT($A50&amp;"!E:E"),,0,1)</f>
        <v>30.39</v>
      </c>
      <c r="E50" t="str">
        <f t="shared" ca="1" si="0"/>
        <v xml:space="preserve">              170.25,30.39,0</v>
      </c>
    </row>
    <row r="51" spans="1:5" x14ac:dyDescent="0.35">
      <c r="A51" t="s">
        <v>35</v>
      </c>
      <c r="B51">
        <f>COUNTIFS(A$1:A51,A51)-1</f>
        <v>41</v>
      </c>
      <c r="C51" cm="1">
        <f t="array" aca="1" ref="C51" ca="1">_xlfn.XLOOKUP(B51,INDIRECT(A51&amp;"!A:A"),INDIRECT(A51&amp;"!B:B"),,0,1)</f>
        <v>170.5</v>
      </c>
      <c r="D51" cm="1">
        <f t="array" aca="1" ref="D51" ca="1">_xlfn.XLOOKUP($B51,INDIRECT($A51&amp;"!A:A"),INDIRECT($A51&amp;"!E:E"),,0,1)</f>
        <v>30.63</v>
      </c>
      <c r="E51" t="str">
        <f t="shared" ca="1" si="0"/>
        <v xml:space="preserve">              170.5,30.63,0</v>
      </c>
    </row>
    <row r="52" spans="1:5" x14ac:dyDescent="0.35">
      <c r="A52" t="s">
        <v>35</v>
      </c>
      <c r="B52">
        <f>COUNTIFS(A$1:A52,A52)-1</f>
        <v>42</v>
      </c>
      <c r="C52" cm="1">
        <f t="array" aca="1" ref="C52" ca="1">_xlfn.XLOOKUP(B52,INDIRECT(A52&amp;"!A:A"),INDIRECT(A52&amp;"!B:B"),,0,1)</f>
        <v>170.75</v>
      </c>
      <c r="D52" cm="1">
        <f t="array" aca="1" ref="D52" ca="1">_xlfn.XLOOKUP($B52,INDIRECT($A52&amp;"!A:A"),INDIRECT($A52&amp;"!E:E"),,0,1)</f>
        <v>30.87</v>
      </c>
      <c r="E52" t="str">
        <f t="shared" ca="1" si="0"/>
        <v xml:space="preserve">              170.75,30.87,0</v>
      </c>
    </row>
    <row r="53" spans="1:5" x14ac:dyDescent="0.35">
      <c r="A53" t="s">
        <v>35</v>
      </c>
      <c r="B53">
        <f>COUNTIFS(A$1:A53,A53)-1</f>
        <v>43</v>
      </c>
      <c r="C53" cm="1">
        <f t="array" aca="1" ref="C53" ca="1">_xlfn.XLOOKUP(B53,INDIRECT(A53&amp;"!A:A"),INDIRECT(A53&amp;"!B:B"),,0,1)</f>
        <v>171</v>
      </c>
      <c r="D53" cm="1">
        <f t="array" aca="1" ref="D53" ca="1">_xlfn.XLOOKUP($B53,INDIRECT($A53&amp;"!A:A"),INDIRECT($A53&amp;"!E:E"),,0,1)</f>
        <v>31.1</v>
      </c>
      <c r="E53" t="str">
        <f t="shared" ca="1" si="0"/>
        <v xml:space="preserve">              171,31.1,0</v>
      </c>
    </row>
    <row r="54" spans="1:5" x14ac:dyDescent="0.35">
      <c r="A54" t="s">
        <v>35</v>
      </c>
      <c r="B54">
        <f>COUNTIFS(A$1:A54,A54)-1</f>
        <v>44</v>
      </c>
      <c r="C54" cm="1">
        <f t="array" aca="1" ref="C54" ca="1">_xlfn.XLOOKUP(B54,INDIRECT(A54&amp;"!A:A"),INDIRECT(A54&amp;"!B:B"),,0,1)</f>
        <v>171.25</v>
      </c>
      <c r="D54" cm="1">
        <f t="array" aca="1" ref="D54" ca="1">_xlfn.XLOOKUP($B54,INDIRECT($A54&amp;"!A:A"),INDIRECT($A54&amp;"!E:E"),,0,1)</f>
        <v>31.34</v>
      </c>
      <c r="E54" t="str">
        <f t="shared" ca="1" si="0"/>
        <v xml:space="preserve">              171.25,31.34,0</v>
      </c>
    </row>
    <row r="55" spans="1:5" x14ac:dyDescent="0.35">
      <c r="A55" t="s">
        <v>35</v>
      </c>
      <c r="B55">
        <f>COUNTIFS(A$1:A55,A55)-1</f>
        <v>45</v>
      </c>
      <c r="C55" cm="1">
        <f t="array" aca="1" ref="C55" ca="1">_xlfn.XLOOKUP(B55,INDIRECT(A55&amp;"!A:A"),INDIRECT(A55&amp;"!B:B"),,0,1)</f>
        <v>171.5</v>
      </c>
      <c r="D55" cm="1">
        <f t="array" aca="1" ref="D55" ca="1">_xlfn.XLOOKUP($B55,INDIRECT($A55&amp;"!A:A"),INDIRECT($A55&amp;"!E:E"),,0,1)</f>
        <v>31.57</v>
      </c>
      <c r="E55" t="str">
        <f t="shared" ca="1" si="0"/>
        <v xml:space="preserve">              171.5,31.57,0</v>
      </c>
    </row>
    <row r="56" spans="1:5" x14ac:dyDescent="0.35">
      <c r="A56" t="s">
        <v>35</v>
      </c>
      <c r="B56">
        <f>COUNTIFS(A$1:A56,A56)-1</f>
        <v>46</v>
      </c>
      <c r="C56" cm="1">
        <f t="array" aca="1" ref="C56" ca="1">_xlfn.XLOOKUP(B56,INDIRECT(A56&amp;"!A:A"),INDIRECT(A56&amp;"!B:B"),,0,1)</f>
        <v>171.75</v>
      </c>
      <c r="D56" cm="1">
        <f t="array" aca="1" ref="D56" ca="1">_xlfn.XLOOKUP($B56,INDIRECT($A56&amp;"!A:A"),INDIRECT($A56&amp;"!E:E"),,0,1)</f>
        <v>31.8</v>
      </c>
      <c r="E56" t="str">
        <f t="shared" ca="1" si="0"/>
        <v xml:space="preserve">              171.75,31.8,0</v>
      </c>
    </row>
    <row r="57" spans="1:5" x14ac:dyDescent="0.35">
      <c r="A57" t="s">
        <v>35</v>
      </c>
      <c r="B57">
        <f>COUNTIFS(A$1:A57,A57)-1</f>
        <v>47</v>
      </c>
      <c r="C57" cm="1">
        <f t="array" aca="1" ref="C57" ca="1">_xlfn.XLOOKUP(B57,INDIRECT(A57&amp;"!A:A"),INDIRECT(A57&amp;"!B:B"),,0,1)</f>
        <v>172</v>
      </c>
      <c r="D57" cm="1">
        <f t="array" aca="1" ref="D57" ca="1">_xlfn.XLOOKUP($B57,INDIRECT($A57&amp;"!A:A"),INDIRECT($A57&amp;"!E:E"),,0,1)</f>
        <v>32.03</v>
      </c>
      <c r="E57" t="str">
        <f t="shared" ca="1" si="0"/>
        <v xml:space="preserve">              172,32.03,0</v>
      </c>
    </row>
    <row r="58" spans="1:5" x14ac:dyDescent="0.35">
      <c r="A58" t="s">
        <v>35</v>
      </c>
      <c r="B58">
        <f>COUNTIFS(A$1:A58,A58)-1</f>
        <v>48</v>
      </c>
      <c r="C58" cm="1">
        <f t="array" aca="1" ref="C58" ca="1">_xlfn.XLOOKUP(B58,INDIRECT(A58&amp;"!A:A"),INDIRECT(A58&amp;"!B:B"),,0,1)</f>
        <v>172.25</v>
      </c>
      <c r="D58" cm="1">
        <f t="array" aca="1" ref="D58" ca="1">_xlfn.XLOOKUP($B58,INDIRECT($A58&amp;"!A:A"),INDIRECT($A58&amp;"!E:E"),,0,1)</f>
        <v>32.26</v>
      </c>
      <c r="E58" t="str">
        <f t="shared" ca="1" si="0"/>
        <v xml:space="preserve">              172.25,32.26,0</v>
      </c>
    </row>
    <row r="59" spans="1:5" x14ac:dyDescent="0.35">
      <c r="A59" t="s">
        <v>35</v>
      </c>
      <c r="B59">
        <f>COUNTIFS(A$1:A59,A59)-1</f>
        <v>49</v>
      </c>
      <c r="C59" cm="1">
        <f t="array" aca="1" ref="C59" ca="1">_xlfn.XLOOKUP(B59,INDIRECT(A59&amp;"!A:A"),INDIRECT(A59&amp;"!B:B"),,0,1)</f>
        <v>172.5</v>
      </c>
      <c r="D59" cm="1">
        <f t="array" aca="1" ref="D59" ca="1">_xlfn.XLOOKUP($B59,INDIRECT($A59&amp;"!A:A"),INDIRECT($A59&amp;"!E:E"),,0,1)</f>
        <v>32.479999999999997</v>
      </c>
      <c r="E59" t="str">
        <f t="shared" ca="1" si="0"/>
        <v xml:space="preserve">              172.5,32.48,0</v>
      </c>
    </row>
    <row r="60" spans="1:5" x14ac:dyDescent="0.35">
      <c r="A60" t="s">
        <v>35</v>
      </c>
      <c r="B60">
        <f>COUNTIFS(A$1:A60,A60)-1</f>
        <v>50</v>
      </c>
      <c r="C60" cm="1">
        <f t="array" aca="1" ref="C60" ca="1">_xlfn.XLOOKUP(B60,INDIRECT(A60&amp;"!A:A"),INDIRECT(A60&amp;"!B:B"),,0,1)</f>
        <v>172.75</v>
      </c>
      <c r="D60" cm="1">
        <f t="array" aca="1" ref="D60" ca="1">_xlfn.XLOOKUP($B60,INDIRECT($A60&amp;"!A:A"),INDIRECT($A60&amp;"!E:E"),,0,1)</f>
        <v>32.71</v>
      </c>
      <c r="E60" t="str">
        <f t="shared" ca="1" si="0"/>
        <v xml:space="preserve">              172.75,32.71,0</v>
      </c>
    </row>
    <row r="61" spans="1:5" x14ac:dyDescent="0.35">
      <c r="A61" t="s">
        <v>35</v>
      </c>
      <c r="B61">
        <f>COUNTIFS(A$1:A61,A61)-1</f>
        <v>51</v>
      </c>
      <c r="C61" cm="1">
        <f t="array" aca="1" ref="C61" ca="1">_xlfn.XLOOKUP(B61,INDIRECT(A61&amp;"!A:A"),INDIRECT(A61&amp;"!B:B"),,0,1)</f>
        <v>173</v>
      </c>
      <c r="D61" cm="1">
        <f t="array" aca="1" ref="D61" ca="1">_xlfn.XLOOKUP($B61,INDIRECT($A61&amp;"!A:A"),INDIRECT($A61&amp;"!E:E"),,0,1)</f>
        <v>32.93</v>
      </c>
      <c r="E61" t="str">
        <f t="shared" ca="1" si="0"/>
        <v xml:space="preserve">              173,32.93,0</v>
      </c>
    </row>
    <row r="62" spans="1:5" x14ac:dyDescent="0.35">
      <c r="A62" t="s">
        <v>35</v>
      </c>
      <c r="B62">
        <f>COUNTIFS(A$1:A62,A62)-1</f>
        <v>52</v>
      </c>
      <c r="C62" cm="1">
        <f t="array" aca="1" ref="C62" ca="1">_xlfn.XLOOKUP(B62,INDIRECT(A62&amp;"!A:A"),INDIRECT(A62&amp;"!B:B"),,0,1)</f>
        <v>173.25</v>
      </c>
      <c r="D62" cm="1">
        <f t="array" aca="1" ref="D62" ca="1">_xlfn.XLOOKUP($B62,INDIRECT($A62&amp;"!A:A"),INDIRECT($A62&amp;"!E:E"),,0,1)</f>
        <v>33.15</v>
      </c>
      <c r="E62" t="str">
        <f t="shared" ca="1" si="0"/>
        <v xml:space="preserve">              173.25,33.15,0</v>
      </c>
    </row>
    <row r="63" spans="1:5" x14ac:dyDescent="0.35">
      <c r="A63" t="s">
        <v>35</v>
      </c>
      <c r="B63">
        <f>COUNTIFS(A$1:A63,A63)-1</f>
        <v>53</v>
      </c>
      <c r="C63" cm="1">
        <f t="array" aca="1" ref="C63" ca="1">_xlfn.XLOOKUP(B63,INDIRECT(A63&amp;"!A:A"),INDIRECT(A63&amp;"!B:B"),,0,1)</f>
        <v>173.5</v>
      </c>
      <c r="D63" cm="1">
        <f t="array" aca="1" ref="D63" ca="1">_xlfn.XLOOKUP($B63,INDIRECT($A63&amp;"!A:A"),INDIRECT($A63&amp;"!E:E"),,0,1)</f>
        <v>33.369999999999997</v>
      </c>
      <c r="E63" t="str">
        <f t="shared" ca="1" si="0"/>
        <v xml:space="preserve">              173.5,33.37,0</v>
      </c>
    </row>
    <row r="64" spans="1:5" x14ac:dyDescent="0.35">
      <c r="A64" t="s">
        <v>35</v>
      </c>
      <c r="B64">
        <f>COUNTIFS(A$1:A64,A64)-1</f>
        <v>54</v>
      </c>
      <c r="C64" cm="1">
        <f t="array" aca="1" ref="C64" ca="1">_xlfn.XLOOKUP(B64,INDIRECT(A64&amp;"!A:A"),INDIRECT(A64&amp;"!B:B"),,0,1)</f>
        <v>173.75</v>
      </c>
      <c r="D64" cm="1">
        <f t="array" aca="1" ref="D64" ca="1">_xlfn.XLOOKUP($B64,INDIRECT($A64&amp;"!A:A"),INDIRECT($A64&amp;"!E:E"),,0,1)</f>
        <v>33.590000000000003</v>
      </c>
      <c r="E64" t="str">
        <f t="shared" ca="1" si="0"/>
        <v xml:space="preserve">              173.75,33.59,0</v>
      </c>
    </row>
    <row r="65" spans="1:5" x14ac:dyDescent="0.35">
      <c r="A65" t="s">
        <v>35</v>
      </c>
      <c r="B65">
        <f>COUNTIFS(A$1:A65,A65)-1</f>
        <v>55</v>
      </c>
      <c r="C65" cm="1">
        <f t="array" aca="1" ref="C65" ca="1">_xlfn.XLOOKUP(B65,INDIRECT(A65&amp;"!A:A"),INDIRECT(A65&amp;"!B:B"),,0,1)</f>
        <v>174</v>
      </c>
      <c r="D65" cm="1">
        <f t="array" aca="1" ref="D65" ca="1">_xlfn.XLOOKUP($B65,INDIRECT($A65&amp;"!A:A"),INDIRECT($A65&amp;"!E:E"),,0,1)</f>
        <v>33.799999999999997</v>
      </c>
      <c r="E65" t="str">
        <f t="shared" ca="1" si="0"/>
        <v xml:space="preserve">              174,33.8,0</v>
      </c>
    </row>
    <row r="66" spans="1:5" x14ac:dyDescent="0.35">
      <c r="A66" t="s">
        <v>35</v>
      </c>
      <c r="B66">
        <f>COUNTIFS(A$1:A66,A66)-1</f>
        <v>56</v>
      </c>
      <c r="C66" cm="1">
        <f t="array" aca="1" ref="C66" ca="1">_xlfn.XLOOKUP(B66,INDIRECT(A66&amp;"!A:A"),INDIRECT(A66&amp;"!B:B"),,0,1)</f>
        <v>174.25</v>
      </c>
      <c r="D66" cm="1">
        <f t="array" aca="1" ref="D66" ca="1">_xlfn.XLOOKUP($B66,INDIRECT($A66&amp;"!A:A"),INDIRECT($A66&amp;"!E:E"),,0,1)</f>
        <v>34.020000000000003</v>
      </c>
      <c r="E66" t="str">
        <f t="shared" ca="1" si="0"/>
        <v xml:space="preserve">              174.25,34.02,0</v>
      </c>
    </row>
    <row r="67" spans="1:5" x14ac:dyDescent="0.35">
      <c r="A67" t="s">
        <v>35</v>
      </c>
      <c r="B67">
        <f>COUNTIFS(A$1:A67,A67)-1</f>
        <v>57</v>
      </c>
      <c r="C67" cm="1">
        <f t="array" aca="1" ref="C67" ca="1">_xlfn.XLOOKUP(B67,INDIRECT(A67&amp;"!A:A"),INDIRECT(A67&amp;"!B:B"),,0,1)</f>
        <v>174.5</v>
      </c>
      <c r="D67" cm="1">
        <f t="array" aca="1" ref="D67" ca="1">_xlfn.XLOOKUP($B67,INDIRECT($A67&amp;"!A:A"),INDIRECT($A67&amp;"!E:E"),,0,1)</f>
        <v>34.229999999999997</v>
      </c>
      <c r="E67" t="str">
        <f t="shared" ca="1" si="0"/>
        <v xml:space="preserve">              174.5,34.23,0</v>
      </c>
    </row>
    <row r="68" spans="1:5" x14ac:dyDescent="0.35">
      <c r="A68" t="s">
        <v>35</v>
      </c>
      <c r="B68">
        <f>COUNTIFS(A$1:A68,A68)-1</f>
        <v>58</v>
      </c>
      <c r="C68" cm="1">
        <f t="array" aca="1" ref="C68" ca="1">_xlfn.XLOOKUP(B68,INDIRECT(A68&amp;"!A:A"),INDIRECT(A68&amp;"!B:B"),,0,1)</f>
        <v>174.75</v>
      </c>
      <c r="D68" cm="1">
        <f t="array" aca="1" ref="D68" ca="1">_xlfn.XLOOKUP($B68,INDIRECT($A68&amp;"!A:A"),INDIRECT($A68&amp;"!E:E"),,0,1)</f>
        <v>34.44</v>
      </c>
      <c r="E68" t="str">
        <f t="shared" ca="1" si="0"/>
        <v xml:space="preserve">              174.75,34.44,0</v>
      </c>
    </row>
    <row r="69" spans="1:5" x14ac:dyDescent="0.35">
      <c r="A69" t="s">
        <v>35</v>
      </c>
      <c r="B69">
        <f>COUNTIFS(A$1:A69,A69)-1</f>
        <v>59</v>
      </c>
      <c r="C69" cm="1">
        <f t="array" aca="1" ref="C69" ca="1">_xlfn.XLOOKUP(B69,INDIRECT(A69&amp;"!A:A"),INDIRECT(A69&amp;"!B:B"),,0,1)</f>
        <v>175</v>
      </c>
      <c r="D69" cm="1">
        <f t="array" aca="1" ref="D69" ca="1">_xlfn.XLOOKUP($B69,INDIRECT($A69&amp;"!A:A"),INDIRECT($A69&amp;"!E:E"),,0,1)</f>
        <v>34.65</v>
      </c>
      <c r="E69" t="str">
        <f t="shared" ca="1" si="0"/>
        <v xml:space="preserve">              175,34.65,0</v>
      </c>
    </row>
    <row r="70" spans="1:5" x14ac:dyDescent="0.35">
      <c r="A70" t="s">
        <v>35</v>
      </c>
      <c r="B70">
        <f>COUNTIFS(A$1:A70,A70)-1</f>
        <v>60</v>
      </c>
      <c r="C70" cm="1">
        <f t="array" aca="1" ref="C70" ca="1">_xlfn.XLOOKUP(B70,INDIRECT(A70&amp;"!A:A"),INDIRECT(A70&amp;"!B:B"),,0,1)</f>
        <v>175.25</v>
      </c>
      <c r="D70" cm="1">
        <f t="array" aca="1" ref="D70" ca="1">_xlfn.XLOOKUP($B70,INDIRECT($A70&amp;"!A:A"),INDIRECT($A70&amp;"!E:E"),,0,1)</f>
        <v>34.86</v>
      </c>
      <c r="E70" t="str">
        <f t="shared" ca="1" si="0"/>
        <v xml:space="preserve">              175.25,34.86,0</v>
      </c>
    </row>
    <row r="71" spans="1:5" x14ac:dyDescent="0.35">
      <c r="A71" t="s">
        <v>35</v>
      </c>
      <c r="B71">
        <f>COUNTIFS(A$1:A71,A71)-1</f>
        <v>61</v>
      </c>
      <c r="C71" cm="1">
        <f t="array" aca="1" ref="C71" ca="1">_xlfn.XLOOKUP(B71,INDIRECT(A71&amp;"!A:A"),INDIRECT(A71&amp;"!B:B"),,0,1)</f>
        <v>175.5</v>
      </c>
      <c r="D71" cm="1">
        <f t="array" aca="1" ref="D71" ca="1">_xlfn.XLOOKUP($B71,INDIRECT($A71&amp;"!A:A"),INDIRECT($A71&amp;"!E:E"),,0,1)</f>
        <v>35.06</v>
      </c>
      <c r="E71" t="str">
        <f t="shared" ca="1" si="0"/>
        <v xml:space="preserve">              175.5,35.06,0</v>
      </c>
    </row>
    <row r="72" spans="1:5" x14ac:dyDescent="0.35">
      <c r="A72" t="s">
        <v>35</v>
      </c>
      <c r="B72">
        <f>COUNTIFS(A$1:A72,A72)-1</f>
        <v>62</v>
      </c>
      <c r="C72" cm="1">
        <f t="array" aca="1" ref="C72" ca="1">_xlfn.XLOOKUP(B72,INDIRECT(A72&amp;"!A:A"),INDIRECT(A72&amp;"!B:B"),,0,1)</f>
        <v>175.75</v>
      </c>
      <c r="D72" cm="1">
        <f t="array" aca="1" ref="D72" ca="1">_xlfn.XLOOKUP($B72,INDIRECT($A72&amp;"!A:A"),INDIRECT($A72&amp;"!E:E"),,0,1)</f>
        <v>35.270000000000003</v>
      </c>
      <c r="E72" t="str">
        <f t="shared" ca="1" si="0"/>
        <v xml:space="preserve">              175.75,35.27,0</v>
      </c>
    </row>
    <row r="73" spans="1:5" x14ac:dyDescent="0.35">
      <c r="A73" t="s">
        <v>35</v>
      </c>
      <c r="B73">
        <f>COUNTIFS(A$1:A73,A73)-1</f>
        <v>63</v>
      </c>
      <c r="C73" cm="1">
        <f t="array" aca="1" ref="C73" ca="1">_xlfn.XLOOKUP(B73,INDIRECT(A73&amp;"!A:A"),INDIRECT(A73&amp;"!B:B"),,0,1)</f>
        <v>176</v>
      </c>
      <c r="D73" cm="1">
        <f t="array" aca="1" ref="D73" ca="1">_xlfn.XLOOKUP($B73,INDIRECT($A73&amp;"!A:A"),INDIRECT($A73&amp;"!E:E"),,0,1)</f>
        <v>35.47</v>
      </c>
      <c r="E73" t="str">
        <f t="shared" ca="1" si="0"/>
        <v xml:space="preserve">              176,35.47,0</v>
      </c>
    </row>
    <row r="74" spans="1:5" x14ac:dyDescent="0.35">
      <c r="A74" t="s">
        <v>35</v>
      </c>
      <c r="B74">
        <f>COUNTIFS(A$1:A74,A74)-1</f>
        <v>64</v>
      </c>
      <c r="C74" cm="1">
        <f t="array" aca="1" ref="C74" ca="1">_xlfn.XLOOKUP(B74,INDIRECT(A74&amp;"!A:A"),INDIRECT(A74&amp;"!B:B"),,0,1)</f>
        <v>176.25</v>
      </c>
      <c r="D74" cm="1">
        <f t="array" aca="1" ref="D74" ca="1">_xlfn.XLOOKUP($B74,INDIRECT($A74&amp;"!A:A"),INDIRECT($A74&amp;"!E:E"),,0,1)</f>
        <v>35.67</v>
      </c>
      <c r="E74" t="str">
        <f t="shared" ca="1" si="0"/>
        <v xml:space="preserve">              176.25,35.67,0</v>
      </c>
    </row>
    <row r="75" spans="1:5" x14ac:dyDescent="0.35">
      <c r="A75" t="s">
        <v>35</v>
      </c>
      <c r="B75">
        <f>COUNTIFS(A$1:A75,A75)-1</f>
        <v>65</v>
      </c>
      <c r="C75" cm="1">
        <f t="array" aca="1" ref="C75" ca="1">_xlfn.XLOOKUP(B75,INDIRECT(A75&amp;"!A:A"),INDIRECT(A75&amp;"!B:B"),,0,1)</f>
        <v>176.5</v>
      </c>
      <c r="D75" cm="1">
        <f t="array" aca="1" ref="D75" ca="1">_xlfn.XLOOKUP($B75,INDIRECT($A75&amp;"!A:A"),INDIRECT($A75&amp;"!E:E"),,0,1)</f>
        <v>35.869999999999997</v>
      </c>
      <c r="E75" t="str">
        <f t="shared" ref="E75:E138" ca="1" si="1">"              "&amp;C75&amp;","&amp;D75&amp;",0"</f>
        <v xml:space="preserve">              176.5,35.87,0</v>
      </c>
    </row>
    <row r="76" spans="1:5" x14ac:dyDescent="0.35">
      <c r="A76" t="s">
        <v>35</v>
      </c>
      <c r="B76">
        <f>COUNTIFS(A$1:A76,A76)-1</f>
        <v>66</v>
      </c>
      <c r="C76" cm="1">
        <f t="array" aca="1" ref="C76" ca="1">_xlfn.XLOOKUP(B76,INDIRECT(A76&amp;"!A:A"),INDIRECT(A76&amp;"!B:B"),,0,1)</f>
        <v>176.75</v>
      </c>
      <c r="D76" cm="1">
        <f t="array" aca="1" ref="D76" ca="1">_xlfn.XLOOKUP($B76,INDIRECT($A76&amp;"!A:A"),INDIRECT($A76&amp;"!E:E"),,0,1)</f>
        <v>36.07</v>
      </c>
      <c r="E76" t="str">
        <f t="shared" ca="1" si="1"/>
        <v xml:space="preserve">              176.75,36.07,0</v>
      </c>
    </row>
    <row r="77" spans="1:5" x14ac:dyDescent="0.35">
      <c r="A77" t="s">
        <v>35</v>
      </c>
      <c r="B77">
        <f>COUNTIFS(A$1:A77,A77)-1</f>
        <v>67</v>
      </c>
      <c r="C77" cm="1">
        <f t="array" aca="1" ref="C77" ca="1">_xlfn.XLOOKUP(B77,INDIRECT(A77&amp;"!A:A"),INDIRECT(A77&amp;"!B:B"),,0,1)</f>
        <v>177</v>
      </c>
      <c r="D77" cm="1">
        <f t="array" aca="1" ref="D77" ca="1">_xlfn.XLOOKUP($B77,INDIRECT($A77&amp;"!A:A"),INDIRECT($A77&amp;"!E:E"),,0,1)</f>
        <v>36.270000000000003</v>
      </c>
      <c r="E77" t="str">
        <f t="shared" ca="1" si="1"/>
        <v xml:space="preserve">              177,36.27,0</v>
      </c>
    </row>
    <row r="78" spans="1:5" x14ac:dyDescent="0.35">
      <c r="A78" t="s">
        <v>35</v>
      </c>
      <c r="B78">
        <f>COUNTIFS(A$1:A78,A78)-1</f>
        <v>68</v>
      </c>
      <c r="C78" cm="1">
        <f t="array" aca="1" ref="C78" ca="1">_xlfn.XLOOKUP(B78,INDIRECT(A78&amp;"!A:A"),INDIRECT(A78&amp;"!B:B"),,0,1)</f>
        <v>177.25</v>
      </c>
      <c r="D78" cm="1">
        <f t="array" aca="1" ref="D78" ca="1">_xlfn.XLOOKUP($B78,INDIRECT($A78&amp;"!A:A"),INDIRECT($A78&amp;"!E:E"),,0,1)</f>
        <v>36.47</v>
      </c>
      <c r="E78" t="str">
        <f t="shared" ca="1" si="1"/>
        <v xml:space="preserve">              177.25,36.47,0</v>
      </c>
    </row>
    <row r="79" spans="1:5" x14ac:dyDescent="0.35">
      <c r="A79" t="s">
        <v>35</v>
      </c>
      <c r="B79">
        <f>COUNTIFS(A$1:A79,A79)-1</f>
        <v>69</v>
      </c>
      <c r="C79" cm="1">
        <f t="array" aca="1" ref="C79" ca="1">_xlfn.XLOOKUP(B79,INDIRECT(A79&amp;"!A:A"),INDIRECT(A79&amp;"!B:B"),,0,1)</f>
        <v>177.5</v>
      </c>
      <c r="D79" cm="1">
        <f t="array" aca="1" ref="D79" ca="1">_xlfn.XLOOKUP($B79,INDIRECT($A79&amp;"!A:A"),INDIRECT($A79&amp;"!E:E"),,0,1)</f>
        <v>36.659999999999997</v>
      </c>
      <c r="E79" t="str">
        <f t="shared" ca="1" si="1"/>
        <v xml:space="preserve">              177.5,36.66,0</v>
      </c>
    </row>
    <row r="80" spans="1:5" x14ac:dyDescent="0.35">
      <c r="A80" t="s">
        <v>35</v>
      </c>
      <c r="B80">
        <f>COUNTIFS(A$1:A80,A80)-1</f>
        <v>70</v>
      </c>
      <c r="C80" cm="1">
        <f t="array" aca="1" ref="C80" ca="1">_xlfn.XLOOKUP(B80,INDIRECT(A80&amp;"!A:A"),INDIRECT(A80&amp;"!B:B"),,0,1)</f>
        <v>177.75</v>
      </c>
      <c r="D80" cm="1">
        <f t="array" aca="1" ref="D80" ca="1">_xlfn.XLOOKUP($B80,INDIRECT($A80&amp;"!A:A"),INDIRECT($A80&amp;"!E:E"),,0,1)</f>
        <v>36.85</v>
      </c>
      <c r="E80" t="str">
        <f t="shared" ca="1" si="1"/>
        <v xml:space="preserve">              177.75,36.85,0</v>
      </c>
    </row>
    <row r="81" spans="1:5" x14ac:dyDescent="0.35">
      <c r="A81" t="s">
        <v>35</v>
      </c>
      <c r="B81">
        <f>COUNTIFS(A$1:A81,A81)-1</f>
        <v>71</v>
      </c>
      <c r="C81" cm="1">
        <f t="array" aca="1" ref="C81" ca="1">_xlfn.XLOOKUP(B81,INDIRECT(A81&amp;"!A:A"),INDIRECT(A81&amp;"!B:B"),,0,1)</f>
        <v>178</v>
      </c>
      <c r="D81" cm="1">
        <f t="array" aca="1" ref="D81" ca="1">_xlfn.XLOOKUP($B81,INDIRECT($A81&amp;"!A:A"),INDIRECT($A81&amp;"!E:E"),,0,1)</f>
        <v>37.04</v>
      </c>
      <c r="E81" t="str">
        <f t="shared" ca="1" si="1"/>
        <v xml:space="preserve">              178,37.04,0</v>
      </c>
    </row>
    <row r="82" spans="1:5" x14ac:dyDescent="0.35">
      <c r="A82" t="s">
        <v>35</v>
      </c>
      <c r="B82">
        <f>COUNTIFS(A$1:A82,A82)-1</f>
        <v>72</v>
      </c>
      <c r="C82" cm="1">
        <f t="array" aca="1" ref="C82" ca="1">_xlfn.XLOOKUP(B82,INDIRECT(A82&amp;"!A:A"),INDIRECT(A82&amp;"!B:B"),,0,1)</f>
        <v>178.25</v>
      </c>
      <c r="D82" cm="1">
        <f t="array" aca="1" ref="D82" ca="1">_xlfn.XLOOKUP($B82,INDIRECT($A82&amp;"!A:A"),INDIRECT($A82&amp;"!E:E"),,0,1)</f>
        <v>37.229999999999997</v>
      </c>
      <c r="E82" t="str">
        <f t="shared" ca="1" si="1"/>
        <v xml:space="preserve">              178.25,37.23,0</v>
      </c>
    </row>
    <row r="83" spans="1:5" x14ac:dyDescent="0.35">
      <c r="A83" t="s">
        <v>35</v>
      </c>
      <c r="B83">
        <f>COUNTIFS(A$1:A83,A83)-1</f>
        <v>73</v>
      </c>
      <c r="C83" cm="1">
        <f t="array" aca="1" ref="C83" ca="1">_xlfn.XLOOKUP(B83,INDIRECT(A83&amp;"!A:A"),INDIRECT(A83&amp;"!B:B"),,0,1)</f>
        <v>178.5</v>
      </c>
      <c r="D83" cm="1">
        <f t="array" aca="1" ref="D83" ca="1">_xlfn.XLOOKUP($B83,INDIRECT($A83&amp;"!A:A"),INDIRECT($A83&amp;"!E:E"),,0,1)</f>
        <v>37.42</v>
      </c>
      <c r="E83" t="str">
        <f t="shared" ca="1" si="1"/>
        <v xml:space="preserve">              178.5,37.42,0</v>
      </c>
    </row>
    <row r="84" spans="1:5" x14ac:dyDescent="0.35">
      <c r="A84" t="s">
        <v>35</v>
      </c>
      <c r="B84">
        <f>COUNTIFS(A$1:A84,A84)-1</f>
        <v>74</v>
      </c>
      <c r="C84" cm="1">
        <f t="array" aca="1" ref="C84" ca="1">_xlfn.XLOOKUP(B84,INDIRECT(A84&amp;"!A:A"),INDIRECT(A84&amp;"!B:B"),,0,1)</f>
        <v>178.75</v>
      </c>
      <c r="D84" cm="1">
        <f t="array" aca="1" ref="D84" ca="1">_xlfn.XLOOKUP($B84,INDIRECT($A84&amp;"!A:A"),INDIRECT($A84&amp;"!E:E"),,0,1)</f>
        <v>37.61</v>
      </c>
      <c r="E84" t="str">
        <f t="shared" ca="1" si="1"/>
        <v xml:space="preserve">              178.75,37.61,0</v>
      </c>
    </row>
    <row r="85" spans="1:5" x14ac:dyDescent="0.35">
      <c r="A85" t="s">
        <v>35</v>
      </c>
      <c r="B85">
        <f>COUNTIFS(A$1:A85,A85)-1</f>
        <v>75</v>
      </c>
      <c r="C85" cm="1">
        <f t="array" aca="1" ref="C85" ca="1">_xlfn.XLOOKUP(B85,INDIRECT(A85&amp;"!A:A"),INDIRECT(A85&amp;"!B:B"),,0,1)</f>
        <v>179</v>
      </c>
      <c r="D85" cm="1">
        <f t="array" aca="1" ref="D85" ca="1">_xlfn.XLOOKUP($B85,INDIRECT($A85&amp;"!A:A"),INDIRECT($A85&amp;"!E:E"),,0,1)</f>
        <v>37.799999999999997</v>
      </c>
      <c r="E85" t="str">
        <f t="shared" ca="1" si="1"/>
        <v xml:space="preserve">              179,37.8,0</v>
      </c>
    </row>
    <row r="86" spans="1:5" x14ac:dyDescent="0.35">
      <c r="A86" t="s">
        <v>35</v>
      </c>
      <c r="B86">
        <f>COUNTIFS(A$1:A86,A86)-1</f>
        <v>76</v>
      </c>
      <c r="C86" cm="1">
        <f t="array" aca="1" ref="C86" ca="1">_xlfn.XLOOKUP(B86,INDIRECT(A86&amp;"!A:A"),INDIRECT(A86&amp;"!B:B"),,0,1)</f>
        <v>179.25</v>
      </c>
      <c r="D86" cm="1">
        <f t="array" aca="1" ref="D86" ca="1">_xlfn.XLOOKUP($B86,INDIRECT($A86&amp;"!A:A"),INDIRECT($A86&amp;"!E:E"),,0,1)</f>
        <v>37.979999999999997</v>
      </c>
      <c r="E86" t="str">
        <f t="shared" ca="1" si="1"/>
        <v xml:space="preserve">              179.25,37.98,0</v>
      </c>
    </row>
    <row r="87" spans="1:5" x14ac:dyDescent="0.35">
      <c r="A87" t="s">
        <v>35</v>
      </c>
      <c r="B87">
        <f>COUNTIFS(A$1:A87,A87)-1</f>
        <v>77</v>
      </c>
      <c r="C87" cm="1">
        <f t="array" aca="1" ref="C87" ca="1">_xlfn.XLOOKUP(B87,INDIRECT(A87&amp;"!A:A"),INDIRECT(A87&amp;"!B:B"),,0,1)</f>
        <v>179.5</v>
      </c>
      <c r="D87" cm="1">
        <f t="array" aca="1" ref="D87" ca="1">_xlfn.XLOOKUP($B87,INDIRECT($A87&amp;"!A:A"),INDIRECT($A87&amp;"!E:E"),,0,1)</f>
        <v>38.159999999999997</v>
      </c>
      <c r="E87" t="str">
        <f t="shared" ca="1" si="1"/>
        <v xml:space="preserve">              179.5,38.16,0</v>
      </c>
    </row>
    <row r="88" spans="1:5" x14ac:dyDescent="0.35">
      <c r="A88" t="s">
        <v>35</v>
      </c>
      <c r="B88">
        <f>COUNTIFS(A$1:A88,A88)-1</f>
        <v>78</v>
      </c>
      <c r="C88" cm="1">
        <f t="array" aca="1" ref="C88" ca="1">_xlfn.XLOOKUP(B88,INDIRECT(A88&amp;"!A:A"),INDIRECT(A88&amp;"!B:B"),,0,1)</f>
        <v>179.75</v>
      </c>
      <c r="D88" cm="1">
        <f t="array" aca="1" ref="D88" ca="1">_xlfn.XLOOKUP($B88,INDIRECT($A88&amp;"!A:A"),INDIRECT($A88&amp;"!E:E"),,0,1)</f>
        <v>38.340000000000003</v>
      </c>
      <c r="E88" t="str">
        <f t="shared" ca="1" si="1"/>
        <v xml:space="preserve">              179.75,38.34,0</v>
      </c>
    </row>
    <row r="89" spans="1:5" x14ac:dyDescent="0.35">
      <c r="A89" t="s">
        <v>35</v>
      </c>
      <c r="B89">
        <f>COUNTIFS(A$1:A89,A89)-1</f>
        <v>79</v>
      </c>
      <c r="C89" cm="1">
        <f t="array" aca="1" ref="C89" ca="1">_xlfn.XLOOKUP(B89,INDIRECT(A89&amp;"!A:A"),INDIRECT(A89&amp;"!B:B"),,0,1)</f>
        <v>180</v>
      </c>
      <c r="D89" cm="1">
        <f t="array" aca="1" ref="D89" ca="1">_xlfn.XLOOKUP($B89,INDIRECT($A89&amp;"!A:A"),INDIRECT($A89&amp;"!E:E"),,0,1)</f>
        <v>38.520000000000003</v>
      </c>
      <c r="E89" t="str">
        <f t="shared" ca="1" si="1"/>
        <v xml:space="preserve">              180,38.52,0</v>
      </c>
    </row>
    <row r="90" spans="1:5" x14ac:dyDescent="0.35">
      <c r="A90" t="s">
        <v>36</v>
      </c>
      <c r="B90">
        <f>COUNTIFS(A$1:A90,A90)-1</f>
        <v>0</v>
      </c>
      <c r="C90" cm="1">
        <f t="array" aca="1" ref="C90" ca="1">_xlfn.XLOOKUP(B90,INDIRECT(A90&amp;"!A:A"),INDIRECT(A90&amp;"!B:B"),,0,1)</f>
        <v>180</v>
      </c>
      <c r="D90" cm="1">
        <f t="array" aca="1" ref="D90" ca="1">_xlfn.XLOOKUP($B90,INDIRECT($A90&amp;"!A:A"),INDIRECT($A90&amp;"!E:E"),,0,1)</f>
        <v>-20</v>
      </c>
      <c r="E90" t="str">
        <f t="shared" ca="1" si="1"/>
        <v xml:space="preserve">              180,-20,0</v>
      </c>
    </row>
    <row r="91" spans="1:5" x14ac:dyDescent="0.35">
      <c r="A91" t="s">
        <v>36</v>
      </c>
      <c r="B91">
        <f>COUNTIFS(A$1:A91,A91)-1</f>
        <v>1</v>
      </c>
      <c r="C91" cm="1">
        <f t="array" aca="1" ref="C91" ca="1">_xlfn.XLOOKUP(B91,INDIRECT(A91&amp;"!A:A"),INDIRECT(A91&amp;"!B:B"),,0,1)</f>
        <v>179.75</v>
      </c>
      <c r="D91" cm="1">
        <f t="array" aca="1" ref="D91" ca="1">_xlfn.XLOOKUP($B91,INDIRECT($A91&amp;"!A:A"),INDIRECT($A91&amp;"!E:E"),,0,1)</f>
        <v>-19.97</v>
      </c>
      <c r="E91" t="str">
        <f t="shared" ca="1" si="1"/>
        <v xml:space="preserve">              179.75,-19.97,0</v>
      </c>
    </row>
    <row r="92" spans="1:5" x14ac:dyDescent="0.35">
      <c r="A92" t="s">
        <v>36</v>
      </c>
      <c r="B92">
        <f>COUNTIFS(A$1:A92,A92)-1</f>
        <v>2</v>
      </c>
      <c r="C92" cm="1">
        <f t="array" aca="1" ref="C92" ca="1">_xlfn.XLOOKUP(B92,INDIRECT(A92&amp;"!A:A"),INDIRECT(A92&amp;"!B:B"),,0,1)</f>
        <v>179.5</v>
      </c>
      <c r="D92" cm="1">
        <f t="array" aca="1" ref="D92" ca="1">_xlfn.XLOOKUP($B92,INDIRECT($A92&amp;"!A:A"),INDIRECT($A92&amp;"!E:E"),,0,1)</f>
        <v>-19.940000000000001</v>
      </c>
      <c r="E92" t="str">
        <f t="shared" ca="1" si="1"/>
        <v xml:space="preserve">              179.5,-19.94,0</v>
      </c>
    </row>
    <row r="93" spans="1:5" x14ac:dyDescent="0.35">
      <c r="A93" t="s">
        <v>36</v>
      </c>
      <c r="B93">
        <f>COUNTIFS(A$1:A93,A93)-1</f>
        <v>3</v>
      </c>
      <c r="C93" cm="1">
        <f t="array" aca="1" ref="C93" ca="1">_xlfn.XLOOKUP(B93,INDIRECT(A93&amp;"!A:A"),INDIRECT(A93&amp;"!B:B"),,0,1)</f>
        <v>179.25</v>
      </c>
      <c r="D93" cm="1">
        <f t="array" aca="1" ref="D93" ca="1">_xlfn.XLOOKUP($B93,INDIRECT($A93&amp;"!A:A"),INDIRECT($A93&amp;"!E:E"),,0,1)</f>
        <v>-19.920000000000002</v>
      </c>
      <c r="E93" t="str">
        <f t="shared" ca="1" si="1"/>
        <v xml:space="preserve">              179.25,-19.92,0</v>
      </c>
    </row>
    <row r="94" spans="1:5" x14ac:dyDescent="0.35">
      <c r="A94" t="s">
        <v>36</v>
      </c>
      <c r="B94">
        <f>COUNTIFS(A$1:A94,A94)-1</f>
        <v>4</v>
      </c>
      <c r="C94" cm="1">
        <f t="array" aca="1" ref="C94" ca="1">_xlfn.XLOOKUP(B94,INDIRECT(A94&amp;"!A:A"),INDIRECT(A94&amp;"!B:B"),,0,1)</f>
        <v>179</v>
      </c>
      <c r="D94" cm="1">
        <f t="array" aca="1" ref="D94" ca="1">_xlfn.XLOOKUP($B94,INDIRECT($A94&amp;"!A:A"),INDIRECT($A94&amp;"!E:E"),,0,1)</f>
        <v>-19.89</v>
      </c>
      <c r="E94" t="str">
        <f t="shared" ca="1" si="1"/>
        <v xml:space="preserve">              179,-19.89,0</v>
      </c>
    </row>
    <row r="95" spans="1:5" x14ac:dyDescent="0.35">
      <c r="A95" t="s">
        <v>36</v>
      </c>
      <c r="B95">
        <f>COUNTIFS(A$1:A95,A95)-1</f>
        <v>5</v>
      </c>
      <c r="C95" cm="1">
        <f t="array" aca="1" ref="C95" ca="1">_xlfn.XLOOKUP(B95,INDIRECT(A95&amp;"!A:A"),INDIRECT(A95&amp;"!B:B"),,0,1)</f>
        <v>178.75</v>
      </c>
      <c r="D95" cm="1">
        <f t="array" aca="1" ref="D95" ca="1">_xlfn.XLOOKUP($B95,INDIRECT($A95&amp;"!A:A"),INDIRECT($A95&amp;"!E:E"),,0,1)</f>
        <v>-19.86</v>
      </c>
      <c r="E95" t="str">
        <f t="shared" ca="1" si="1"/>
        <v xml:space="preserve">              178.75,-19.86,0</v>
      </c>
    </row>
    <row r="96" spans="1:5" x14ac:dyDescent="0.35">
      <c r="A96" t="s">
        <v>36</v>
      </c>
      <c r="B96">
        <f>COUNTIFS(A$1:A96,A96)-1</f>
        <v>6</v>
      </c>
      <c r="C96" cm="1">
        <f t="array" aca="1" ref="C96" ca="1">_xlfn.XLOOKUP(B96,INDIRECT(A96&amp;"!A:A"),INDIRECT(A96&amp;"!B:B"),,0,1)</f>
        <v>178.5</v>
      </c>
      <c r="D96" cm="1">
        <f t="array" aca="1" ref="D96" ca="1">_xlfn.XLOOKUP($B96,INDIRECT($A96&amp;"!A:A"),INDIRECT($A96&amp;"!E:E"),,0,1)</f>
        <v>-19.829999999999998</v>
      </c>
      <c r="E96" t="str">
        <f t="shared" ca="1" si="1"/>
        <v xml:space="preserve">              178.5,-19.83,0</v>
      </c>
    </row>
    <row r="97" spans="1:5" x14ac:dyDescent="0.35">
      <c r="A97" t="s">
        <v>36</v>
      </c>
      <c r="B97">
        <f>COUNTIFS(A$1:A97,A97)-1</f>
        <v>7</v>
      </c>
      <c r="C97" cm="1">
        <f t="array" aca="1" ref="C97" ca="1">_xlfn.XLOOKUP(B97,INDIRECT(A97&amp;"!A:A"),INDIRECT(A97&amp;"!B:B"),,0,1)</f>
        <v>178.25</v>
      </c>
      <c r="D97" cm="1">
        <f t="array" aca="1" ref="D97" ca="1">_xlfn.XLOOKUP($B97,INDIRECT($A97&amp;"!A:A"),INDIRECT($A97&amp;"!E:E"),,0,1)</f>
        <v>-19.8</v>
      </c>
      <c r="E97" t="str">
        <f t="shared" ca="1" si="1"/>
        <v xml:space="preserve">              178.25,-19.8,0</v>
      </c>
    </row>
    <row r="98" spans="1:5" x14ac:dyDescent="0.35">
      <c r="A98" t="s">
        <v>36</v>
      </c>
      <c r="B98">
        <f>COUNTIFS(A$1:A98,A98)-1</f>
        <v>8</v>
      </c>
      <c r="C98" cm="1">
        <f t="array" aca="1" ref="C98" ca="1">_xlfn.XLOOKUP(B98,INDIRECT(A98&amp;"!A:A"),INDIRECT(A98&amp;"!B:B"),,0,1)</f>
        <v>178</v>
      </c>
      <c r="D98" cm="1">
        <f t="array" aca="1" ref="D98" ca="1">_xlfn.XLOOKUP($B98,INDIRECT($A98&amp;"!A:A"),INDIRECT($A98&amp;"!E:E"),,0,1)</f>
        <v>-19.78</v>
      </c>
      <c r="E98" t="str">
        <f t="shared" ca="1" si="1"/>
        <v xml:space="preserve">              178,-19.78,0</v>
      </c>
    </row>
    <row r="99" spans="1:5" x14ac:dyDescent="0.35">
      <c r="A99" t="s">
        <v>36</v>
      </c>
      <c r="B99">
        <f>COUNTIFS(A$1:A99,A99)-1</f>
        <v>9</v>
      </c>
      <c r="C99" cm="1">
        <f t="array" aca="1" ref="C99" ca="1">_xlfn.XLOOKUP(B99,INDIRECT(A99&amp;"!A:A"),INDIRECT(A99&amp;"!B:B"),,0,1)</f>
        <v>177.75</v>
      </c>
      <c r="D99" cm="1">
        <f t="array" aca="1" ref="D99" ca="1">_xlfn.XLOOKUP($B99,INDIRECT($A99&amp;"!A:A"),INDIRECT($A99&amp;"!E:E"),,0,1)</f>
        <v>-19.75</v>
      </c>
      <c r="E99" t="str">
        <f t="shared" ca="1" si="1"/>
        <v xml:space="preserve">              177.75,-19.75,0</v>
      </c>
    </row>
    <row r="100" spans="1:5" x14ac:dyDescent="0.35">
      <c r="A100" t="s">
        <v>36</v>
      </c>
      <c r="B100">
        <f>COUNTIFS(A$1:A100,A100)-1</f>
        <v>10</v>
      </c>
      <c r="C100" cm="1">
        <f t="array" aca="1" ref="C100" ca="1">_xlfn.XLOOKUP(B100,INDIRECT(A100&amp;"!A:A"),INDIRECT(A100&amp;"!B:B"),,0,1)</f>
        <v>177.5</v>
      </c>
      <c r="D100" cm="1">
        <f t="array" aca="1" ref="D100" ca="1">_xlfn.XLOOKUP($B100,INDIRECT($A100&amp;"!A:A"),INDIRECT($A100&amp;"!E:E"),,0,1)</f>
        <v>-19.72</v>
      </c>
      <c r="E100" t="str">
        <f t="shared" ca="1" si="1"/>
        <v xml:space="preserve">              177.5,-19.72,0</v>
      </c>
    </row>
    <row r="101" spans="1:5" x14ac:dyDescent="0.35">
      <c r="A101" t="s">
        <v>36</v>
      </c>
      <c r="B101">
        <f>COUNTIFS(A$1:A101,A101)-1</f>
        <v>11</v>
      </c>
      <c r="C101" cm="1">
        <f t="array" aca="1" ref="C101" ca="1">_xlfn.XLOOKUP(B101,INDIRECT(A101&amp;"!A:A"),INDIRECT(A101&amp;"!B:B"),,0,1)</f>
        <v>177.25</v>
      </c>
      <c r="D101" cm="1">
        <f t="array" aca="1" ref="D101" ca="1">_xlfn.XLOOKUP($B101,INDIRECT($A101&amp;"!A:A"),INDIRECT($A101&amp;"!E:E"),,0,1)</f>
        <v>-19.690000000000001</v>
      </c>
      <c r="E101" t="str">
        <f t="shared" ca="1" si="1"/>
        <v xml:space="preserve">              177.25,-19.69,0</v>
      </c>
    </row>
    <row r="102" spans="1:5" x14ac:dyDescent="0.35">
      <c r="A102" t="s">
        <v>36</v>
      </c>
      <c r="B102">
        <f>COUNTIFS(A$1:A102,A102)-1</f>
        <v>12</v>
      </c>
      <c r="C102" cm="1">
        <f t="array" aca="1" ref="C102" ca="1">_xlfn.XLOOKUP(B102,INDIRECT(A102&amp;"!A:A"),INDIRECT(A102&amp;"!B:B"),,0,1)</f>
        <v>177</v>
      </c>
      <c r="D102" cm="1">
        <f t="array" aca="1" ref="D102" ca="1">_xlfn.XLOOKUP($B102,INDIRECT($A102&amp;"!A:A"),INDIRECT($A102&amp;"!E:E"),,0,1)</f>
        <v>-19.66</v>
      </c>
      <c r="E102" t="str">
        <f t="shared" ca="1" si="1"/>
        <v xml:space="preserve">              177,-19.66,0</v>
      </c>
    </row>
    <row r="103" spans="1:5" x14ac:dyDescent="0.35">
      <c r="A103" t="s">
        <v>36</v>
      </c>
      <c r="B103">
        <f>COUNTIFS(A$1:A103,A103)-1</f>
        <v>13</v>
      </c>
      <c r="C103" cm="1">
        <f t="array" aca="1" ref="C103" ca="1">_xlfn.XLOOKUP(B103,INDIRECT(A103&amp;"!A:A"),INDIRECT(A103&amp;"!B:B"),,0,1)</f>
        <v>176.75</v>
      </c>
      <c r="D103" cm="1">
        <f t="array" aca="1" ref="D103" ca="1">_xlfn.XLOOKUP($B103,INDIRECT($A103&amp;"!A:A"),INDIRECT($A103&amp;"!E:E"),,0,1)</f>
        <v>-19.63</v>
      </c>
      <c r="E103" t="str">
        <f t="shared" ca="1" si="1"/>
        <v xml:space="preserve">              176.75,-19.63,0</v>
      </c>
    </row>
    <row r="104" spans="1:5" x14ac:dyDescent="0.35">
      <c r="A104" t="s">
        <v>36</v>
      </c>
      <c r="B104">
        <f>COUNTIFS(A$1:A104,A104)-1</f>
        <v>14</v>
      </c>
      <c r="C104" cm="1">
        <f t="array" aca="1" ref="C104" ca="1">_xlfn.XLOOKUP(B104,INDIRECT(A104&amp;"!A:A"),INDIRECT(A104&amp;"!B:B"),,0,1)</f>
        <v>176.5</v>
      </c>
      <c r="D104" cm="1">
        <f t="array" aca="1" ref="D104" ca="1">_xlfn.XLOOKUP($B104,INDIRECT($A104&amp;"!A:A"),INDIRECT($A104&amp;"!E:E"),,0,1)</f>
        <v>-19.59</v>
      </c>
      <c r="E104" t="str">
        <f t="shared" ca="1" si="1"/>
        <v xml:space="preserve">              176.5,-19.59,0</v>
      </c>
    </row>
    <row r="105" spans="1:5" x14ac:dyDescent="0.35">
      <c r="A105" t="s">
        <v>36</v>
      </c>
      <c r="B105">
        <f>COUNTIFS(A$1:A105,A105)-1</f>
        <v>15</v>
      </c>
      <c r="C105" cm="1">
        <f t="array" aca="1" ref="C105" ca="1">_xlfn.XLOOKUP(B105,INDIRECT(A105&amp;"!A:A"),INDIRECT(A105&amp;"!B:B"),,0,1)</f>
        <v>176.25</v>
      </c>
      <c r="D105" cm="1">
        <f t="array" aca="1" ref="D105" ca="1">_xlfn.XLOOKUP($B105,INDIRECT($A105&amp;"!A:A"),INDIRECT($A105&amp;"!E:E"),,0,1)</f>
        <v>-19.559999999999999</v>
      </c>
      <c r="E105" t="str">
        <f t="shared" ca="1" si="1"/>
        <v xml:space="preserve">              176.25,-19.56,0</v>
      </c>
    </row>
    <row r="106" spans="1:5" x14ac:dyDescent="0.35">
      <c r="A106" t="s">
        <v>36</v>
      </c>
      <c r="B106">
        <f>COUNTIFS(A$1:A106,A106)-1</f>
        <v>16</v>
      </c>
      <c r="C106" cm="1">
        <f t="array" aca="1" ref="C106" ca="1">_xlfn.XLOOKUP(B106,INDIRECT(A106&amp;"!A:A"),INDIRECT(A106&amp;"!B:B"),,0,1)</f>
        <v>176</v>
      </c>
      <c r="D106" cm="1">
        <f t="array" aca="1" ref="D106" ca="1">_xlfn.XLOOKUP($B106,INDIRECT($A106&amp;"!A:A"),INDIRECT($A106&amp;"!E:E"),,0,1)</f>
        <v>-19.53</v>
      </c>
      <c r="E106" t="str">
        <f t="shared" ca="1" si="1"/>
        <v xml:space="preserve">              176,-19.53,0</v>
      </c>
    </row>
    <row r="107" spans="1:5" x14ac:dyDescent="0.35">
      <c r="A107" t="s">
        <v>36</v>
      </c>
      <c r="B107">
        <f>COUNTIFS(A$1:A107,A107)-1</f>
        <v>17</v>
      </c>
      <c r="C107" cm="1">
        <f t="array" aca="1" ref="C107" ca="1">_xlfn.XLOOKUP(B107,INDIRECT(A107&amp;"!A:A"),INDIRECT(A107&amp;"!B:B"),,0,1)</f>
        <v>175.75</v>
      </c>
      <c r="D107" cm="1">
        <f t="array" aca="1" ref="D107" ca="1">_xlfn.XLOOKUP($B107,INDIRECT($A107&amp;"!A:A"),INDIRECT($A107&amp;"!E:E"),,0,1)</f>
        <v>-19.5</v>
      </c>
      <c r="E107" t="str">
        <f t="shared" ca="1" si="1"/>
        <v xml:space="preserve">              175.75,-19.5,0</v>
      </c>
    </row>
    <row r="108" spans="1:5" x14ac:dyDescent="0.35">
      <c r="A108" t="s">
        <v>37</v>
      </c>
      <c r="B108">
        <f>COUNTIFS(A$1:A108,A108)-1</f>
        <v>0</v>
      </c>
      <c r="C108" cm="1">
        <f t="array" aca="1" ref="C108" ca="1">_xlfn.XLOOKUP(B108,INDIRECT(A108&amp;"!A:A"),INDIRECT(A108&amp;"!B:B"),,0,1)</f>
        <v>175.5</v>
      </c>
      <c r="D108" cm="1">
        <f t="array" aca="1" ref="D108" ca="1">_xlfn.XLOOKUP($B108,INDIRECT($A108&amp;"!A:A"),INDIRECT($A108&amp;"!E:E"),,0,1)</f>
        <v>-18.920000000000002</v>
      </c>
      <c r="E108" t="str">
        <f t="shared" ca="1" si="1"/>
        <v xml:space="preserve">              175.5,-18.92,0</v>
      </c>
    </row>
    <row r="109" spans="1:5" x14ac:dyDescent="0.35">
      <c r="A109" t="s">
        <v>37</v>
      </c>
      <c r="B109">
        <f>COUNTIFS(A$1:A109,A109)-1</f>
        <v>1</v>
      </c>
      <c r="C109" cm="1">
        <f t="array" aca="1" ref="C109" ca="1">_xlfn.XLOOKUP(B109,INDIRECT(A109&amp;"!A:A"),INDIRECT(A109&amp;"!B:B"),,0,1)</f>
        <v>175.25</v>
      </c>
      <c r="D109" cm="1">
        <f t="array" aca="1" ref="D109" ca="1">_xlfn.XLOOKUP($B109,INDIRECT($A109&amp;"!A:A"),INDIRECT($A109&amp;"!E:E"),,0,1)</f>
        <v>-18.34</v>
      </c>
      <c r="E109" t="str">
        <f t="shared" ca="1" si="1"/>
        <v xml:space="preserve">              175.25,-18.34,0</v>
      </c>
    </row>
    <row r="110" spans="1:5" x14ac:dyDescent="0.35">
      <c r="A110" t="s">
        <v>37</v>
      </c>
      <c r="B110">
        <f>COUNTIFS(A$1:A110,A110)-1</f>
        <v>2</v>
      </c>
      <c r="C110" cm="1">
        <f t="array" aca="1" ref="C110" ca="1">_xlfn.XLOOKUP(B110,INDIRECT(A110&amp;"!A:A"),INDIRECT(A110&amp;"!B:B"),,0,1)</f>
        <v>175</v>
      </c>
      <c r="D110" cm="1">
        <f t="array" aca="1" ref="D110" ca="1">_xlfn.XLOOKUP($B110,INDIRECT($A110&amp;"!A:A"),INDIRECT($A110&amp;"!E:E"),,0,1)</f>
        <v>-17.75</v>
      </c>
      <c r="E110" t="str">
        <f t="shared" ca="1" si="1"/>
        <v xml:space="preserve">              175,-17.75,0</v>
      </c>
    </row>
    <row r="111" spans="1:5" x14ac:dyDescent="0.35">
      <c r="A111" t="s">
        <v>37</v>
      </c>
      <c r="B111">
        <f>COUNTIFS(A$1:A111,A111)-1</f>
        <v>3</v>
      </c>
      <c r="C111" cm="1">
        <f t="array" aca="1" ref="C111" ca="1">_xlfn.XLOOKUP(B111,INDIRECT(A111&amp;"!A:A"),INDIRECT(A111&amp;"!B:B"),,0,1)</f>
        <v>174.75</v>
      </c>
      <c r="D111" cm="1">
        <f t="array" aca="1" ref="D111" ca="1">_xlfn.XLOOKUP($B111,INDIRECT($A111&amp;"!A:A"),INDIRECT($A111&amp;"!E:E"),,0,1)</f>
        <v>-17.149999999999999</v>
      </c>
      <c r="E111" t="str">
        <f t="shared" ca="1" si="1"/>
        <v xml:space="preserve">              174.75,-17.15,0</v>
      </c>
    </row>
    <row r="112" spans="1:5" x14ac:dyDescent="0.35">
      <c r="A112" t="s">
        <v>37</v>
      </c>
      <c r="B112">
        <f>COUNTIFS(A$1:A112,A112)-1</f>
        <v>4</v>
      </c>
      <c r="C112" cm="1">
        <f t="array" aca="1" ref="C112" ca="1">_xlfn.XLOOKUP(B112,INDIRECT(A112&amp;"!A:A"),INDIRECT(A112&amp;"!B:B"),,0,1)</f>
        <v>174.5</v>
      </c>
      <c r="D112" cm="1">
        <f t="array" aca="1" ref="D112" ca="1">_xlfn.XLOOKUP($B112,INDIRECT($A112&amp;"!A:A"),INDIRECT($A112&amp;"!E:E"),,0,1)</f>
        <v>-16.559999999999999</v>
      </c>
      <c r="E112" t="str">
        <f t="shared" ca="1" si="1"/>
        <v xml:space="preserve">              174.5,-16.56,0</v>
      </c>
    </row>
    <row r="113" spans="1:5" x14ac:dyDescent="0.35">
      <c r="A113" t="s">
        <v>37</v>
      </c>
      <c r="B113">
        <f>COUNTIFS(A$1:A113,A113)-1</f>
        <v>5</v>
      </c>
      <c r="C113" cm="1">
        <f t="array" aca="1" ref="C113" ca="1">_xlfn.XLOOKUP(B113,INDIRECT(A113&amp;"!A:A"),INDIRECT(A113&amp;"!B:B"),,0,1)</f>
        <v>174.25</v>
      </c>
      <c r="D113" cm="1">
        <f t="array" aca="1" ref="D113" ca="1">_xlfn.XLOOKUP($B113,INDIRECT($A113&amp;"!A:A"),INDIRECT($A113&amp;"!E:E"),,0,1)</f>
        <v>-15.95</v>
      </c>
      <c r="E113" t="str">
        <f t="shared" ca="1" si="1"/>
        <v xml:space="preserve">              174.25,-15.95,0</v>
      </c>
    </row>
    <row r="114" spans="1:5" x14ac:dyDescent="0.35">
      <c r="A114" t="s">
        <v>37</v>
      </c>
      <c r="B114">
        <f>COUNTIFS(A$1:A114,A114)-1</f>
        <v>6</v>
      </c>
      <c r="C114" cm="1">
        <f t="array" aca="1" ref="C114" ca="1">_xlfn.XLOOKUP(B114,INDIRECT(A114&amp;"!A:A"),INDIRECT(A114&amp;"!B:B"),,0,1)</f>
        <v>174</v>
      </c>
      <c r="D114" cm="1">
        <f t="array" aca="1" ref="D114" ca="1">_xlfn.XLOOKUP($B114,INDIRECT($A114&amp;"!A:A"),INDIRECT($A114&amp;"!E:E"),,0,1)</f>
        <v>-15.35</v>
      </c>
      <c r="E114" t="str">
        <f t="shared" ca="1" si="1"/>
        <v xml:space="preserve">              174,-15.35,0</v>
      </c>
    </row>
    <row r="115" spans="1:5" x14ac:dyDescent="0.35">
      <c r="A115" t="s">
        <v>37</v>
      </c>
      <c r="B115">
        <f>COUNTIFS(A$1:A115,A115)-1</f>
        <v>7</v>
      </c>
      <c r="C115" cm="1">
        <f t="array" aca="1" ref="C115" ca="1">_xlfn.XLOOKUP(B115,INDIRECT(A115&amp;"!A:A"),INDIRECT(A115&amp;"!B:B"),,0,1)</f>
        <v>173.75</v>
      </c>
      <c r="D115" cm="1">
        <f t="array" aca="1" ref="D115" ca="1">_xlfn.XLOOKUP($B115,INDIRECT($A115&amp;"!A:A"),INDIRECT($A115&amp;"!E:E"),,0,1)</f>
        <v>-14.74</v>
      </c>
      <c r="E115" t="str">
        <f t="shared" ca="1" si="1"/>
        <v xml:space="preserve">              173.75,-14.74,0</v>
      </c>
    </row>
    <row r="116" spans="1:5" x14ac:dyDescent="0.35">
      <c r="A116" t="s">
        <v>37</v>
      </c>
      <c r="B116">
        <f>COUNTIFS(A$1:A116,A116)-1</f>
        <v>8</v>
      </c>
      <c r="C116" cm="1">
        <f t="array" aca="1" ref="C116" ca="1">_xlfn.XLOOKUP(B116,INDIRECT(A116&amp;"!A:A"),INDIRECT(A116&amp;"!B:B"),,0,1)</f>
        <v>173.5</v>
      </c>
      <c r="D116" cm="1">
        <f t="array" aca="1" ref="D116" ca="1">_xlfn.XLOOKUP($B116,INDIRECT($A116&amp;"!A:A"),INDIRECT($A116&amp;"!E:E"),,0,1)</f>
        <v>-14.13</v>
      </c>
      <c r="E116" t="str">
        <f t="shared" ca="1" si="1"/>
        <v xml:space="preserve">              173.5,-14.13,0</v>
      </c>
    </row>
    <row r="117" spans="1:5" x14ac:dyDescent="0.35">
      <c r="A117" t="s">
        <v>37</v>
      </c>
      <c r="B117">
        <f>COUNTIFS(A$1:A117,A117)-1</f>
        <v>9</v>
      </c>
      <c r="C117" cm="1">
        <f t="array" aca="1" ref="C117" ca="1">_xlfn.XLOOKUP(B117,INDIRECT(A117&amp;"!A:A"),INDIRECT(A117&amp;"!B:B"),,0,1)</f>
        <v>173.25</v>
      </c>
      <c r="D117" cm="1">
        <f t="array" aca="1" ref="D117" ca="1">_xlfn.XLOOKUP($B117,INDIRECT($A117&amp;"!A:A"),INDIRECT($A117&amp;"!E:E"),,0,1)</f>
        <v>-13.51</v>
      </c>
      <c r="E117" t="str">
        <f t="shared" ca="1" si="1"/>
        <v xml:space="preserve">              173.25,-13.51,0</v>
      </c>
    </row>
    <row r="118" spans="1:5" x14ac:dyDescent="0.35">
      <c r="A118" t="s">
        <v>37</v>
      </c>
      <c r="B118">
        <f>COUNTIFS(A$1:A118,A118)-1</f>
        <v>10</v>
      </c>
      <c r="C118" cm="1">
        <f t="array" aca="1" ref="C118" ca="1">_xlfn.XLOOKUP(B118,INDIRECT(A118&amp;"!A:A"),INDIRECT(A118&amp;"!B:B"),,0,1)</f>
        <v>173</v>
      </c>
      <c r="D118" cm="1">
        <f t="array" aca="1" ref="D118" ca="1">_xlfn.XLOOKUP($B118,INDIRECT($A118&amp;"!A:A"),INDIRECT($A118&amp;"!E:E"),,0,1)</f>
        <v>-12.89</v>
      </c>
      <c r="E118" t="str">
        <f t="shared" ca="1" si="1"/>
        <v xml:space="preserve">              173,-12.89,0</v>
      </c>
    </row>
    <row r="119" spans="1:5" x14ac:dyDescent="0.35">
      <c r="A119" t="s">
        <v>37</v>
      </c>
      <c r="B119">
        <f>COUNTIFS(A$1:A119,A119)-1</f>
        <v>11</v>
      </c>
      <c r="C119" cm="1">
        <f t="array" aca="1" ref="C119" ca="1">_xlfn.XLOOKUP(B119,INDIRECT(A119&amp;"!A:A"),INDIRECT(A119&amp;"!B:B"),,0,1)</f>
        <v>172.75</v>
      </c>
      <c r="D119" cm="1">
        <f t="array" aca="1" ref="D119" ca="1">_xlfn.XLOOKUP($B119,INDIRECT($A119&amp;"!A:A"),INDIRECT($A119&amp;"!E:E"),,0,1)</f>
        <v>-12.27</v>
      </c>
      <c r="E119" t="str">
        <f t="shared" ca="1" si="1"/>
        <v xml:space="preserve">              172.75,-12.27,0</v>
      </c>
    </row>
    <row r="120" spans="1:5" x14ac:dyDescent="0.35">
      <c r="A120" t="s">
        <v>37</v>
      </c>
      <c r="B120">
        <f>COUNTIFS(A$1:A120,A120)-1</f>
        <v>12</v>
      </c>
      <c r="C120" cm="1">
        <f t="array" aca="1" ref="C120" ca="1">_xlfn.XLOOKUP(B120,INDIRECT(A120&amp;"!A:A"),INDIRECT(A120&amp;"!B:B"),,0,1)</f>
        <v>172.5</v>
      </c>
      <c r="D120" cm="1">
        <f t="array" aca="1" ref="D120" ca="1">_xlfn.XLOOKUP($B120,INDIRECT($A120&amp;"!A:A"),INDIRECT($A120&amp;"!E:E"),,0,1)</f>
        <v>-11.64</v>
      </c>
      <c r="E120" t="str">
        <f t="shared" ca="1" si="1"/>
        <v xml:space="preserve">              172.5,-11.64,0</v>
      </c>
    </row>
    <row r="121" spans="1:5" x14ac:dyDescent="0.35">
      <c r="A121" t="s">
        <v>37</v>
      </c>
      <c r="B121">
        <f>COUNTIFS(A$1:A121,A121)-1</f>
        <v>13</v>
      </c>
      <c r="C121" cm="1">
        <f t="array" aca="1" ref="C121" ca="1">_xlfn.XLOOKUP(B121,INDIRECT(A121&amp;"!A:A"),INDIRECT(A121&amp;"!B:B"),,0,1)</f>
        <v>172.25</v>
      </c>
      <c r="D121" cm="1">
        <f t="array" aca="1" ref="D121" ca="1">_xlfn.XLOOKUP($B121,INDIRECT($A121&amp;"!A:A"),INDIRECT($A121&amp;"!E:E"),,0,1)</f>
        <v>-11.01</v>
      </c>
      <c r="E121" t="str">
        <f t="shared" ca="1" si="1"/>
        <v xml:space="preserve">              172.25,-11.01,0</v>
      </c>
    </row>
    <row r="122" spans="1:5" x14ac:dyDescent="0.35">
      <c r="A122" t="s">
        <v>37</v>
      </c>
      <c r="B122">
        <f>COUNTIFS(A$1:A122,A122)-1</f>
        <v>14</v>
      </c>
      <c r="C122" cm="1">
        <f t="array" aca="1" ref="C122" ca="1">_xlfn.XLOOKUP(B122,INDIRECT(A122&amp;"!A:A"),INDIRECT(A122&amp;"!B:B"),,0,1)</f>
        <v>172</v>
      </c>
      <c r="D122" cm="1">
        <f t="array" aca="1" ref="D122" ca="1">_xlfn.XLOOKUP($B122,INDIRECT($A122&amp;"!A:A"),INDIRECT($A122&amp;"!E:E"),,0,1)</f>
        <v>-10.38</v>
      </c>
      <c r="E122" t="str">
        <f t="shared" ca="1" si="1"/>
        <v xml:space="preserve">              172,-10.38,0</v>
      </c>
    </row>
    <row r="123" spans="1:5" x14ac:dyDescent="0.35">
      <c r="A123" t="s">
        <v>37</v>
      </c>
      <c r="B123">
        <f>COUNTIFS(A$1:A123,A123)-1</f>
        <v>15</v>
      </c>
      <c r="C123" cm="1">
        <f t="array" aca="1" ref="C123" ca="1">_xlfn.XLOOKUP(B123,INDIRECT(A123&amp;"!A:A"),INDIRECT(A123&amp;"!B:B"),,0,1)</f>
        <v>171.75</v>
      </c>
      <c r="D123" cm="1">
        <f t="array" aca="1" ref="D123" ca="1">_xlfn.XLOOKUP($B123,INDIRECT($A123&amp;"!A:A"),INDIRECT($A123&amp;"!E:E"),,0,1)</f>
        <v>-9.75</v>
      </c>
      <c r="E123" t="str">
        <f t="shared" ca="1" si="1"/>
        <v xml:space="preserve">              171.75,-9.75,0</v>
      </c>
    </row>
    <row r="124" spans="1:5" x14ac:dyDescent="0.35">
      <c r="A124" t="s">
        <v>37</v>
      </c>
      <c r="B124">
        <f>COUNTIFS(A$1:A124,A124)-1</f>
        <v>16</v>
      </c>
      <c r="C124" cm="1">
        <f t="array" aca="1" ref="C124" ca="1">_xlfn.XLOOKUP(B124,INDIRECT(A124&amp;"!A:A"),INDIRECT(A124&amp;"!B:B"),,0,1)</f>
        <v>171.5</v>
      </c>
      <c r="D124" cm="1">
        <f t="array" aca="1" ref="D124" ca="1">_xlfn.XLOOKUP($B124,INDIRECT($A124&amp;"!A:A"),INDIRECT($A124&amp;"!E:E"),,0,1)</f>
        <v>-9.11</v>
      </c>
      <c r="E124" t="str">
        <f t="shared" ca="1" si="1"/>
        <v xml:space="preserve">              171.5,-9.11,0</v>
      </c>
    </row>
    <row r="125" spans="1:5" x14ac:dyDescent="0.35">
      <c r="A125" t="s">
        <v>37</v>
      </c>
      <c r="B125">
        <f>COUNTIFS(A$1:A125,A125)-1</f>
        <v>17</v>
      </c>
      <c r="C125" cm="1">
        <f t="array" aca="1" ref="C125" ca="1">_xlfn.XLOOKUP(B125,INDIRECT(A125&amp;"!A:A"),INDIRECT(A125&amp;"!B:B"),,0,1)</f>
        <v>171.25</v>
      </c>
      <c r="D125" cm="1">
        <f t="array" aca="1" ref="D125" ca="1">_xlfn.XLOOKUP($B125,INDIRECT($A125&amp;"!A:A"),INDIRECT($A125&amp;"!E:E"),,0,1)</f>
        <v>-8.4700000000000006</v>
      </c>
      <c r="E125" t="str">
        <f t="shared" ca="1" si="1"/>
        <v xml:space="preserve">              171.25,-8.47,0</v>
      </c>
    </row>
    <row r="126" spans="1:5" x14ac:dyDescent="0.35">
      <c r="A126" t="s">
        <v>37</v>
      </c>
      <c r="B126">
        <f>COUNTIFS(A$1:A126,A126)-1</f>
        <v>18</v>
      </c>
      <c r="C126" cm="1">
        <f t="array" aca="1" ref="C126" ca="1">_xlfn.XLOOKUP(B126,INDIRECT(A126&amp;"!A:A"),INDIRECT(A126&amp;"!B:B"),,0,1)</f>
        <v>171</v>
      </c>
      <c r="D126" cm="1">
        <f t="array" aca="1" ref="D126" ca="1">_xlfn.XLOOKUP($B126,INDIRECT($A126&amp;"!A:A"),INDIRECT($A126&amp;"!E:E"),,0,1)</f>
        <v>-7.83</v>
      </c>
      <c r="E126" t="str">
        <f t="shared" ca="1" si="1"/>
        <v xml:space="preserve">              171,-7.83,0</v>
      </c>
    </row>
    <row r="127" spans="1:5" x14ac:dyDescent="0.35">
      <c r="A127" t="s">
        <v>37</v>
      </c>
      <c r="B127">
        <f>COUNTIFS(A$1:A127,A127)-1</f>
        <v>19</v>
      </c>
      <c r="C127" cm="1">
        <f t="array" aca="1" ref="C127" ca="1">_xlfn.XLOOKUP(B127,INDIRECT(A127&amp;"!A:A"),INDIRECT(A127&amp;"!B:B"),,0,1)</f>
        <v>170.75</v>
      </c>
      <c r="D127" cm="1">
        <f t="array" aca="1" ref="D127" ca="1">_xlfn.XLOOKUP($B127,INDIRECT($A127&amp;"!A:A"),INDIRECT($A127&amp;"!E:E"),,0,1)</f>
        <v>-7.18</v>
      </c>
      <c r="E127" t="str">
        <f t="shared" ca="1" si="1"/>
        <v xml:space="preserve">              170.75,-7.18,0</v>
      </c>
    </row>
    <row r="128" spans="1:5" x14ac:dyDescent="0.35">
      <c r="A128" t="s">
        <v>37</v>
      </c>
      <c r="B128">
        <f>COUNTIFS(A$1:A128,A128)-1</f>
        <v>20</v>
      </c>
      <c r="C128" cm="1">
        <f t="array" aca="1" ref="C128" ca="1">_xlfn.XLOOKUP(B128,INDIRECT(A128&amp;"!A:A"),INDIRECT(A128&amp;"!B:B"),,0,1)</f>
        <v>170.5</v>
      </c>
      <c r="D128" cm="1">
        <f t="array" aca="1" ref="D128" ca="1">_xlfn.XLOOKUP($B128,INDIRECT($A128&amp;"!A:A"),INDIRECT($A128&amp;"!E:E"),,0,1)</f>
        <v>-6.53</v>
      </c>
      <c r="E128" t="str">
        <f t="shared" ca="1" si="1"/>
        <v xml:space="preserve">              170.5,-6.53,0</v>
      </c>
    </row>
    <row r="129" spans="1:5" x14ac:dyDescent="0.35">
      <c r="A129" t="s">
        <v>37</v>
      </c>
      <c r="B129">
        <f>COUNTIFS(A$1:A129,A129)-1</f>
        <v>21</v>
      </c>
      <c r="C129" cm="1">
        <f t="array" aca="1" ref="C129" ca="1">_xlfn.XLOOKUP(B129,INDIRECT(A129&amp;"!A:A"),INDIRECT(A129&amp;"!B:B"),,0,1)</f>
        <v>170.25</v>
      </c>
      <c r="D129" cm="1">
        <f t="array" aca="1" ref="D129" ca="1">_xlfn.XLOOKUP($B129,INDIRECT($A129&amp;"!A:A"),INDIRECT($A129&amp;"!E:E"),,0,1)</f>
        <v>-5.89</v>
      </c>
      <c r="E129" t="str">
        <f t="shared" ca="1" si="1"/>
        <v xml:space="preserve">              170.25,-5.89,0</v>
      </c>
    </row>
    <row r="130" spans="1:5" x14ac:dyDescent="0.35">
      <c r="A130" t="s">
        <v>37</v>
      </c>
      <c r="B130">
        <f>COUNTIFS(A$1:A130,A130)-1</f>
        <v>22</v>
      </c>
      <c r="C130" cm="1">
        <f t="array" aca="1" ref="C130" ca="1">_xlfn.XLOOKUP(B130,INDIRECT(A130&amp;"!A:A"),INDIRECT(A130&amp;"!B:B"),,0,1)</f>
        <v>170</v>
      </c>
      <c r="D130" cm="1">
        <f t="array" aca="1" ref="D130" ca="1">_xlfn.XLOOKUP($B130,INDIRECT($A130&amp;"!A:A"),INDIRECT($A130&amp;"!E:E"),,0,1)</f>
        <v>-5.24</v>
      </c>
      <c r="E130" t="str">
        <f t="shared" ca="1" si="1"/>
        <v xml:space="preserve">              170,-5.24,0</v>
      </c>
    </row>
    <row r="131" spans="1:5" x14ac:dyDescent="0.35">
      <c r="A131" t="s">
        <v>37</v>
      </c>
      <c r="B131">
        <f>COUNTIFS(A$1:A131,A131)-1</f>
        <v>23</v>
      </c>
      <c r="C131" cm="1">
        <f t="array" aca="1" ref="C131" ca="1">_xlfn.XLOOKUP(B131,INDIRECT(A131&amp;"!A:A"),INDIRECT(A131&amp;"!B:B"),,0,1)</f>
        <v>169.75</v>
      </c>
      <c r="D131" cm="1">
        <f t="array" aca="1" ref="D131" ca="1">_xlfn.XLOOKUP($B131,INDIRECT($A131&amp;"!A:A"),INDIRECT($A131&amp;"!E:E"),,0,1)</f>
        <v>-4.58</v>
      </c>
      <c r="E131" t="str">
        <f t="shared" ca="1" si="1"/>
        <v xml:space="preserve">              169.75,-4.58,0</v>
      </c>
    </row>
    <row r="132" spans="1:5" x14ac:dyDescent="0.35">
      <c r="A132" t="s">
        <v>37</v>
      </c>
      <c r="B132">
        <f>COUNTIFS(A$1:A132,A132)-1</f>
        <v>24</v>
      </c>
      <c r="C132" cm="1">
        <f t="array" aca="1" ref="C132" ca="1">_xlfn.XLOOKUP(B132,INDIRECT(A132&amp;"!A:A"),INDIRECT(A132&amp;"!B:B"),,0,1)</f>
        <v>169.5</v>
      </c>
      <c r="D132" cm="1">
        <f t="array" aca="1" ref="D132" ca="1">_xlfn.XLOOKUP($B132,INDIRECT($A132&amp;"!A:A"),INDIRECT($A132&amp;"!E:E"),,0,1)</f>
        <v>-3.93</v>
      </c>
      <c r="E132" t="str">
        <f t="shared" ca="1" si="1"/>
        <v xml:space="preserve">              169.5,-3.93,0</v>
      </c>
    </row>
    <row r="133" spans="1:5" x14ac:dyDescent="0.35">
      <c r="A133" t="s">
        <v>37</v>
      </c>
      <c r="B133">
        <f>COUNTIFS(A$1:A133,A133)-1</f>
        <v>25</v>
      </c>
      <c r="C133" cm="1">
        <f t="array" aca="1" ref="C133" ca="1">_xlfn.XLOOKUP(B133,INDIRECT(A133&amp;"!A:A"),INDIRECT(A133&amp;"!B:B"),,0,1)</f>
        <v>169.25</v>
      </c>
      <c r="D133" cm="1">
        <f t="array" aca="1" ref="D133" ca="1">_xlfn.XLOOKUP($B133,INDIRECT($A133&amp;"!A:A"),INDIRECT($A133&amp;"!E:E"),,0,1)</f>
        <v>-3.28</v>
      </c>
      <c r="E133" t="str">
        <f t="shared" ca="1" si="1"/>
        <v xml:space="preserve">              169.25,-3.28,0</v>
      </c>
    </row>
    <row r="134" spans="1:5" x14ac:dyDescent="0.35">
      <c r="A134" t="s">
        <v>37</v>
      </c>
      <c r="B134">
        <f>COUNTIFS(A$1:A134,A134)-1</f>
        <v>26</v>
      </c>
      <c r="C134" cm="1">
        <f t="array" aca="1" ref="C134" ca="1">_xlfn.XLOOKUP(B134,INDIRECT(A134&amp;"!A:A"),INDIRECT(A134&amp;"!B:B"),,0,1)</f>
        <v>169</v>
      </c>
      <c r="D134" cm="1">
        <f t="array" aca="1" ref="D134" ca="1">_xlfn.XLOOKUP($B134,INDIRECT($A134&amp;"!A:A"),INDIRECT($A134&amp;"!E:E"),,0,1)</f>
        <v>-2.62</v>
      </c>
      <c r="E134" t="str">
        <f t="shared" ca="1" si="1"/>
        <v xml:space="preserve">              169,-2.62,0</v>
      </c>
    </row>
    <row r="135" spans="1:5" x14ac:dyDescent="0.35">
      <c r="A135" t="s">
        <v>37</v>
      </c>
      <c r="B135">
        <f>COUNTIFS(A$1:A135,A135)-1</f>
        <v>27</v>
      </c>
      <c r="C135" cm="1">
        <f t="array" aca="1" ref="C135" ca="1">_xlfn.XLOOKUP(B135,INDIRECT(A135&amp;"!A:A"),INDIRECT(A135&amp;"!B:B"),,0,1)</f>
        <v>168.75</v>
      </c>
      <c r="D135" cm="1">
        <f t="array" aca="1" ref="D135" ca="1">_xlfn.XLOOKUP($B135,INDIRECT($A135&amp;"!A:A"),INDIRECT($A135&amp;"!E:E"),,0,1)</f>
        <v>-1.97</v>
      </c>
      <c r="E135" t="str">
        <f t="shared" ca="1" si="1"/>
        <v xml:space="preserve">              168.75,-1.97,0</v>
      </c>
    </row>
    <row r="136" spans="1:5" x14ac:dyDescent="0.35">
      <c r="A136" t="s">
        <v>37</v>
      </c>
      <c r="B136">
        <f>COUNTIFS(A$1:A136,A136)-1</f>
        <v>28</v>
      </c>
      <c r="C136" cm="1">
        <f t="array" aca="1" ref="C136" ca="1">_xlfn.XLOOKUP(B136,INDIRECT(A136&amp;"!A:A"),INDIRECT(A136&amp;"!B:B"),,0,1)</f>
        <v>168.5</v>
      </c>
      <c r="D136" cm="1">
        <f t="array" aca="1" ref="D136" ca="1">_xlfn.XLOOKUP($B136,INDIRECT($A136&amp;"!A:A"),INDIRECT($A136&amp;"!E:E"),,0,1)</f>
        <v>-1.31</v>
      </c>
      <c r="E136" t="str">
        <f t="shared" ca="1" si="1"/>
        <v xml:space="preserve">              168.5,-1.31,0</v>
      </c>
    </row>
    <row r="137" spans="1:5" x14ac:dyDescent="0.35">
      <c r="A137" t="s">
        <v>37</v>
      </c>
      <c r="B137">
        <f>COUNTIFS(A$1:A137,A137)-1</f>
        <v>29</v>
      </c>
      <c r="C137" cm="1">
        <f t="array" aca="1" ref="C137" ca="1">_xlfn.XLOOKUP(B137,INDIRECT(A137&amp;"!A:A"),INDIRECT(A137&amp;"!B:B"),,0,1)</f>
        <v>168.25</v>
      </c>
      <c r="D137" cm="1">
        <f t="array" aca="1" ref="D137" ca="1">_xlfn.XLOOKUP($B137,INDIRECT($A137&amp;"!A:A"),INDIRECT($A137&amp;"!E:E"),,0,1)</f>
        <v>-0.66</v>
      </c>
      <c r="E137" t="str">
        <f t="shared" ca="1" si="1"/>
        <v xml:space="preserve">              168.25,-0.66,0</v>
      </c>
    </row>
    <row r="138" spans="1:5" x14ac:dyDescent="0.35">
      <c r="A138" t="s">
        <v>37</v>
      </c>
      <c r="B138">
        <f>COUNTIFS(A$1:A138,A138)-1</f>
        <v>30</v>
      </c>
      <c r="C138" cm="1">
        <f t="array" aca="1" ref="C138" ca="1">_xlfn.XLOOKUP(B138,INDIRECT(A138&amp;"!A:A"),INDIRECT(A138&amp;"!B:B"),,0,1)</f>
        <v>168</v>
      </c>
      <c r="D138" cm="1">
        <f t="array" aca="1" ref="D138" ca="1">_xlfn.XLOOKUP($B138,INDIRECT($A138&amp;"!A:A"),INDIRECT($A138&amp;"!E:E"),,0,1)</f>
        <v>0</v>
      </c>
      <c r="E138" t="str">
        <f t="shared" ca="1" si="1"/>
        <v xml:space="preserve">              168,0,0</v>
      </c>
    </row>
    <row r="139" spans="1:5" x14ac:dyDescent="0.35">
      <c r="A139" t="s">
        <v>37</v>
      </c>
      <c r="B139">
        <f>COUNTIFS(A$1:A139,A139)-1</f>
        <v>31</v>
      </c>
      <c r="C139" cm="1">
        <f t="array" aca="1" ref="C139" ca="1">_xlfn.XLOOKUP(B139,INDIRECT(A139&amp;"!A:A"),INDIRECT(A139&amp;"!B:B"),,0,1)</f>
        <v>167.75</v>
      </c>
      <c r="D139" cm="1">
        <f t="array" aca="1" ref="D139" ca="1">_xlfn.XLOOKUP($B139,INDIRECT($A139&amp;"!A:A"),INDIRECT($A139&amp;"!E:E"),,0,1)</f>
        <v>0.66</v>
      </c>
      <c r="E139" t="str">
        <f t="shared" ref="E139:E169" ca="1" si="2">"              "&amp;C139&amp;","&amp;D139&amp;",0"</f>
        <v xml:space="preserve">              167.75,0.66,0</v>
      </c>
    </row>
    <row r="140" spans="1:5" x14ac:dyDescent="0.35">
      <c r="A140" t="s">
        <v>37</v>
      </c>
      <c r="B140">
        <f>COUNTIFS(A$1:A140,A140)-1</f>
        <v>32</v>
      </c>
      <c r="C140" cm="1">
        <f t="array" aca="1" ref="C140" ca="1">_xlfn.XLOOKUP(B140,INDIRECT(A140&amp;"!A:A"),INDIRECT(A140&amp;"!B:B"),,0,1)</f>
        <v>167.5</v>
      </c>
      <c r="D140" cm="1">
        <f t="array" aca="1" ref="D140" ca="1">_xlfn.XLOOKUP($B140,INDIRECT($A140&amp;"!A:A"),INDIRECT($A140&amp;"!E:E"),,0,1)</f>
        <v>1.31</v>
      </c>
      <c r="E140" t="str">
        <f t="shared" ca="1" si="2"/>
        <v xml:space="preserve">              167.5,1.31,0</v>
      </c>
    </row>
    <row r="141" spans="1:5" x14ac:dyDescent="0.35">
      <c r="A141" t="s">
        <v>37</v>
      </c>
      <c r="B141">
        <f>COUNTIFS(A$1:A141,A141)-1</f>
        <v>33</v>
      </c>
      <c r="C141" cm="1">
        <f t="array" aca="1" ref="C141" ca="1">_xlfn.XLOOKUP(B141,INDIRECT(A141&amp;"!A:A"),INDIRECT(A141&amp;"!B:B"),,0,1)</f>
        <v>167.25</v>
      </c>
      <c r="D141" cm="1">
        <f t="array" aca="1" ref="D141" ca="1">_xlfn.XLOOKUP($B141,INDIRECT($A141&amp;"!A:A"),INDIRECT($A141&amp;"!E:E"),,0,1)</f>
        <v>1.97</v>
      </c>
      <c r="E141" t="str">
        <f t="shared" ca="1" si="2"/>
        <v xml:space="preserve">              167.25,1.97,0</v>
      </c>
    </row>
    <row r="142" spans="1:5" x14ac:dyDescent="0.35">
      <c r="A142" t="s">
        <v>37</v>
      </c>
      <c r="B142">
        <f>COUNTIFS(A$1:A142,A142)-1</f>
        <v>34</v>
      </c>
      <c r="C142" cm="1">
        <f t="array" aca="1" ref="C142" ca="1">_xlfn.XLOOKUP(B142,INDIRECT(A142&amp;"!A:A"),INDIRECT(A142&amp;"!B:B"),,0,1)</f>
        <v>167</v>
      </c>
      <c r="D142" cm="1">
        <f t="array" aca="1" ref="D142" ca="1">_xlfn.XLOOKUP($B142,INDIRECT($A142&amp;"!A:A"),INDIRECT($A142&amp;"!E:E"),,0,1)</f>
        <v>2.62</v>
      </c>
      <c r="E142" t="str">
        <f t="shared" ca="1" si="2"/>
        <v xml:space="preserve">              167,2.62,0</v>
      </c>
    </row>
    <row r="143" spans="1:5" x14ac:dyDescent="0.35">
      <c r="A143" t="s">
        <v>37</v>
      </c>
      <c r="B143">
        <f>COUNTIFS(A$1:A143,A143)-1</f>
        <v>35</v>
      </c>
      <c r="C143" cm="1">
        <f t="array" aca="1" ref="C143" ca="1">_xlfn.XLOOKUP(B143,INDIRECT(A143&amp;"!A:A"),INDIRECT(A143&amp;"!B:B"),,0,1)</f>
        <v>166.75</v>
      </c>
      <c r="D143" cm="1">
        <f t="array" aca="1" ref="D143" ca="1">_xlfn.XLOOKUP($B143,INDIRECT($A143&amp;"!A:A"),INDIRECT($A143&amp;"!E:E"),,0,1)</f>
        <v>3.28</v>
      </c>
      <c r="E143" t="str">
        <f t="shared" ca="1" si="2"/>
        <v xml:space="preserve">              166.75,3.28,0</v>
      </c>
    </row>
    <row r="144" spans="1:5" x14ac:dyDescent="0.35">
      <c r="A144" t="s">
        <v>37</v>
      </c>
      <c r="B144">
        <f>COUNTIFS(A$1:A144,A144)-1</f>
        <v>36</v>
      </c>
      <c r="C144" cm="1">
        <f t="array" aca="1" ref="C144" ca="1">_xlfn.XLOOKUP(B144,INDIRECT(A144&amp;"!A:A"),INDIRECT(A144&amp;"!B:B"),,0,1)</f>
        <v>166.5</v>
      </c>
      <c r="D144" cm="1">
        <f t="array" aca="1" ref="D144" ca="1">_xlfn.XLOOKUP($B144,INDIRECT($A144&amp;"!A:A"),INDIRECT($A144&amp;"!E:E"),,0,1)</f>
        <v>3.93</v>
      </c>
      <c r="E144" t="str">
        <f t="shared" ca="1" si="2"/>
        <v xml:space="preserve">              166.5,3.93,0</v>
      </c>
    </row>
    <row r="145" spans="1:5" x14ac:dyDescent="0.35">
      <c r="A145" t="s">
        <v>37</v>
      </c>
      <c r="B145">
        <f>COUNTIFS(A$1:A145,A145)-1</f>
        <v>37</v>
      </c>
      <c r="C145" cm="1">
        <f t="array" aca="1" ref="C145" ca="1">_xlfn.XLOOKUP(B145,INDIRECT(A145&amp;"!A:A"),INDIRECT(A145&amp;"!B:B"),,0,1)</f>
        <v>166.25</v>
      </c>
      <c r="D145" cm="1">
        <f t="array" aca="1" ref="D145" ca="1">_xlfn.XLOOKUP($B145,INDIRECT($A145&amp;"!A:A"),INDIRECT($A145&amp;"!E:E"),,0,1)</f>
        <v>4.58</v>
      </c>
      <c r="E145" t="str">
        <f t="shared" ca="1" si="2"/>
        <v xml:space="preserve">              166.25,4.58,0</v>
      </c>
    </row>
    <row r="146" spans="1:5" x14ac:dyDescent="0.35">
      <c r="A146" t="s">
        <v>37</v>
      </c>
      <c r="B146">
        <f>COUNTIFS(A$1:A146,A146)-1</f>
        <v>38</v>
      </c>
      <c r="C146" cm="1">
        <f t="array" aca="1" ref="C146" ca="1">_xlfn.XLOOKUP(B146,INDIRECT(A146&amp;"!A:A"),INDIRECT(A146&amp;"!B:B"),,0,1)</f>
        <v>166</v>
      </c>
      <c r="D146" cm="1">
        <f t="array" aca="1" ref="D146" ca="1">_xlfn.XLOOKUP($B146,INDIRECT($A146&amp;"!A:A"),INDIRECT($A146&amp;"!E:E"),,0,1)</f>
        <v>5.24</v>
      </c>
      <c r="E146" t="str">
        <f t="shared" ca="1" si="2"/>
        <v xml:space="preserve">              166,5.24,0</v>
      </c>
    </row>
    <row r="147" spans="1:5" x14ac:dyDescent="0.35">
      <c r="A147" t="s">
        <v>37</v>
      </c>
      <c r="B147">
        <f>COUNTIFS(A$1:A147,A147)-1</f>
        <v>39</v>
      </c>
      <c r="C147" cm="1">
        <f t="array" aca="1" ref="C147" ca="1">_xlfn.XLOOKUP(B147,INDIRECT(A147&amp;"!A:A"),INDIRECT(A147&amp;"!B:B"),,0,1)</f>
        <v>165.75</v>
      </c>
      <c r="D147" cm="1">
        <f t="array" aca="1" ref="D147" ca="1">_xlfn.XLOOKUP($B147,INDIRECT($A147&amp;"!A:A"),INDIRECT($A147&amp;"!E:E"),,0,1)</f>
        <v>5.89</v>
      </c>
      <c r="E147" t="str">
        <f t="shared" ca="1" si="2"/>
        <v xml:space="preserve">              165.75,5.89,0</v>
      </c>
    </row>
    <row r="148" spans="1:5" x14ac:dyDescent="0.35">
      <c r="A148" t="s">
        <v>37</v>
      </c>
      <c r="B148">
        <f>COUNTIFS(A$1:A148,A148)-1</f>
        <v>40</v>
      </c>
      <c r="C148" cm="1">
        <f t="array" aca="1" ref="C148" ca="1">_xlfn.XLOOKUP(B148,INDIRECT(A148&amp;"!A:A"),INDIRECT(A148&amp;"!B:B"),,0,1)</f>
        <v>165.5</v>
      </c>
      <c r="D148" cm="1">
        <f t="array" aca="1" ref="D148" ca="1">_xlfn.XLOOKUP($B148,INDIRECT($A148&amp;"!A:A"),INDIRECT($A148&amp;"!E:E"),,0,1)</f>
        <v>6.53</v>
      </c>
      <c r="E148" t="str">
        <f t="shared" ca="1" si="2"/>
        <v xml:space="preserve">              165.5,6.53,0</v>
      </c>
    </row>
    <row r="149" spans="1:5" x14ac:dyDescent="0.35">
      <c r="A149" t="s">
        <v>37</v>
      </c>
      <c r="B149">
        <f>COUNTIFS(A$1:A149,A149)-1</f>
        <v>41</v>
      </c>
      <c r="C149" cm="1">
        <f t="array" aca="1" ref="C149" ca="1">_xlfn.XLOOKUP(B149,INDIRECT(A149&amp;"!A:A"),INDIRECT(A149&amp;"!B:B"),,0,1)</f>
        <v>165.25</v>
      </c>
      <c r="D149" cm="1">
        <f t="array" aca="1" ref="D149" ca="1">_xlfn.XLOOKUP($B149,INDIRECT($A149&amp;"!A:A"),INDIRECT($A149&amp;"!E:E"),,0,1)</f>
        <v>7.18</v>
      </c>
      <c r="E149" t="str">
        <f t="shared" ca="1" si="2"/>
        <v xml:space="preserve">              165.25,7.18,0</v>
      </c>
    </row>
    <row r="150" spans="1:5" x14ac:dyDescent="0.35">
      <c r="A150" t="s">
        <v>37</v>
      </c>
      <c r="B150">
        <f>COUNTIFS(A$1:A150,A150)-1</f>
        <v>42</v>
      </c>
      <c r="C150" cm="1">
        <f t="array" aca="1" ref="C150" ca="1">_xlfn.XLOOKUP(B150,INDIRECT(A150&amp;"!A:A"),INDIRECT(A150&amp;"!B:B"),,0,1)</f>
        <v>165</v>
      </c>
      <c r="D150" cm="1">
        <f t="array" aca="1" ref="D150" ca="1">_xlfn.XLOOKUP($B150,INDIRECT($A150&amp;"!A:A"),INDIRECT($A150&amp;"!E:E"),,0,1)</f>
        <v>7.83</v>
      </c>
      <c r="E150" t="str">
        <f t="shared" ca="1" si="2"/>
        <v xml:space="preserve">              165,7.83,0</v>
      </c>
    </row>
    <row r="151" spans="1:5" x14ac:dyDescent="0.35">
      <c r="A151" t="s">
        <v>37</v>
      </c>
      <c r="B151">
        <f>COUNTIFS(A$1:A151,A151)-1</f>
        <v>43</v>
      </c>
      <c r="C151" cm="1">
        <f t="array" aca="1" ref="C151" ca="1">_xlfn.XLOOKUP(B151,INDIRECT(A151&amp;"!A:A"),INDIRECT(A151&amp;"!B:B"),,0,1)</f>
        <v>164.75</v>
      </c>
      <c r="D151" cm="1">
        <f t="array" aca="1" ref="D151" ca="1">_xlfn.XLOOKUP($B151,INDIRECT($A151&amp;"!A:A"),INDIRECT($A151&amp;"!E:E"),,0,1)</f>
        <v>8.4700000000000006</v>
      </c>
      <c r="E151" t="str">
        <f t="shared" ca="1" si="2"/>
        <v xml:space="preserve">              164.75,8.47,0</v>
      </c>
    </row>
    <row r="152" spans="1:5" x14ac:dyDescent="0.35">
      <c r="A152" t="s">
        <v>37</v>
      </c>
      <c r="B152">
        <f>COUNTIFS(A$1:A152,A152)-1</f>
        <v>44</v>
      </c>
      <c r="C152" cm="1">
        <f t="array" aca="1" ref="C152" ca="1">_xlfn.XLOOKUP(B152,INDIRECT(A152&amp;"!A:A"),INDIRECT(A152&amp;"!B:B"),,0,1)</f>
        <v>164.5</v>
      </c>
      <c r="D152" cm="1">
        <f t="array" aca="1" ref="D152" ca="1">_xlfn.XLOOKUP($B152,INDIRECT($A152&amp;"!A:A"),INDIRECT($A152&amp;"!E:E"),,0,1)</f>
        <v>9.11</v>
      </c>
      <c r="E152" t="str">
        <f t="shared" ca="1" si="2"/>
        <v xml:space="preserve">              164.5,9.11,0</v>
      </c>
    </row>
    <row r="153" spans="1:5" x14ac:dyDescent="0.35">
      <c r="A153" t="s">
        <v>37</v>
      </c>
      <c r="B153">
        <f>COUNTIFS(A$1:A153,A153)-1</f>
        <v>45</v>
      </c>
      <c r="C153" cm="1">
        <f t="array" aca="1" ref="C153" ca="1">_xlfn.XLOOKUP(B153,INDIRECT(A153&amp;"!A:A"),INDIRECT(A153&amp;"!B:B"),,0,1)</f>
        <v>164.25</v>
      </c>
      <c r="D153" cm="1">
        <f t="array" aca="1" ref="D153" ca="1">_xlfn.XLOOKUP($B153,INDIRECT($A153&amp;"!A:A"),INDIRECT($A153&amp;"!E:E"),,0,1)</f>
        <v>9.75</v>
      </c>
      <c r="E153" t="str">
        <f t="shared" ca="1" si="2"/>
        <v xml:space="preserve">              164.25,9.75,0</v>
      </c>
    </row>
    <row r="154" spans="1:5" x14ac:dyDescent="0.35">
      <c r="A154" t="s">
        <v>37</v>
      </c>
      <c r="B154">
        <f>COUNTIFS(A$1:A154,A154)-1</f>
        <v>46</v>
      </c>
      <c r="C154" cm="1">
        <f t="array" aca="1" ref="C154" ca="1">_xlfn.XLOOKUP(B154,INDIRECT(A154&amp;"!A:A"),INDIRECT(A154&amp;"!B:B"),,0,1)</f>
        <v>164</v>
      </c>
      <c r="D154" cm="1">
        <f t="array" aca="1" ref="D154" ca="1">_xlfn.XLOOKUP($B154,INDIRECT($A154&amp;"!A:A"),INDIRECT($A154&amp;"!E:E"),,0,1)</f>
        <v>10.38</v>
      </c>
      <c r="E154" t="str">
        <f t="shared" ca="1" si="2"/>
        <v xml:space="preserve">              164,10.38,0</v>
      </c>
    </row>
    <row r="155" spans="1:5" x14ac:dyDescent="0.35">
      <c r="A155" t="s">
        <v>37</v>
      </c>
      <c r="B155">
        <f>COUNTIFS(A$1:A155,A155)-1</f>
        <v>47</v>
      </c>
      <c r="C155" cm="1">
        <f t="array" aca="1" ref="C155" ca="1">_xlfn.XLOOKUP(B155,INDIRECT(A155&amp;"!A:A"),INDIRECT(A155&amp;"!B:B"),,0,1)</f>
        <v>163.75</v>
      </c>
      <c r="D155" cm="1">
        <f t="array" aca="1" ref="D155" ca="1">_xlfn.XLOOKUP($B155,INDIRECT($A155&amp;"!A:A"),INDIRECT($A155&amp;"!E:E"),,0,1)</f>
        <v>11.01</v>
      </c>
      <c r="E155" t="str">
        <f t="shared" ca="1" si="2"/>
        <v xml:space="preserve">              163.75,11.01,0</v>
      </c>
    </row>
    <row r="156" spans="1:5" x14ac:dyDescent="0.35">
      <c r="A156" t="s">
        <v>37</v>
      </c>
      <c r="B156">
        <f>COUNTIFS(A$1:A156,A156)-1</f>
        <v>48</v>
      </c>
      <c r="C156" cm="1">
        <f t="array" aca="1" ref="C156" ca="1">_xlfn.XLOOKUP(B156,INDIRECT(A156&amp;"!A:A"),INDIRECT(A156&amp;"!B:B"),,0,1)</f>
        <v>163.5</v>
      </c>
      <c r="D156" cm="1">
        <f t="array" aca="1" ref="D156" ca="1">_xlfn.XLOOKUP($B156,INDIRECT($A156&amp;"!A:A"),INDIRECT($A156&amp;"!E:E"),,0,1)</f>
        <v>11.64</v>
      </c>
      <c r="E156" t="str">
        <f t="shared" ca="1" si="2"/>
        <v xml:space="preserve">              163.5,11.64,0</v>
      </c>
    </row>
    <row r="157" spans="1:5" x14ac:dyDescent="0.35">
      <c r="A157" t="s">
        <v>37</v>
      </c>
      <c r="B157">
        <f>COUNTIFS(A$1:A157,A157)-1</f>
        <v>49</v>
      </c>
      <c r="C157" cm="1">
        <f t="array" aca="1" ref="C157" ca="1">_xlfn.XLOOKUP(B157,INDIRECT(A157&amp;"!A:A"),INDIRECT(A157&amp;"!B:B"),,0,1)</f>
        <v>163.25</v>
      </c>
      <c r="D157" cm="1">
        <f t="array" aca="1" ref="D157" ca="1">_xlfn.XLOOKUP($B157,INDIRECT($A157&amp;"!A:A"),INDIRECT($A157&amp;"!E:E"),,0,1)</f>
        <v>12.27</v>
      </c>
      <c r="E157" t="str">
        <f t="shared" ca="1" si="2"/>
        <v xml:space="preserve">              163.25,12.27,0</v>
      </c>
    </row>
    <row r="158" spans="1:5" x14ac:dyDescent="0.35">
      <c r="A158" t="s">
        <v>37</v>
      </c>
      <c r="B158">
        <f>COUNTIFS(A$1:A158,A158)-1</f>
        <v>50</v>
      </c>
      <c r="C158" cm="1">
        <f t="array" aca="1" ref="C158" ca="1">_xlfn.XLOOKUP(B158,INDIRECT(A158&amp;"!A:A"),INDIRECT(A158&amp;"!B:B"),,0,1)</f>
        <v>163</v>
      </c>
      <c r="D158" cm="1">
        <f t="array" aca="1" ref="D158" ca="1">_xlfn.XLOOKUP($B158,INDIRECT($A158&amp;"!A:A"),INDIRECT($A158&amp;"!E:E"),,0,1)</f>
        <v>12.89</v>
      </c>
      <c r="E158" t="str">
        <f t="shared" ca="1" si="2"/>
        <v xml:space="preserve">              163,12.89,0</v>
      </c>
    </row>
    <row r="159" spans="1:5" x14ac:dyDescent="0.35">
      <c r="A159" t="s">
        <v>37</v>
      </c>
      <c r="B159">
        <f>COUNTIFS(A$1:A159,A159)-1</f>
        <v>51</v>
      </c>
      <c r="C159" cm="1">
        <f t="array" aca="1" ref="C159" ca="1">_xlfn.XLOOKUP(B159,INDIRECT(A159&amp;"!A:A"),INDIRECT(A159&amp;"!B:B"),,0,1)</f>
        <v>162.75</v>
      </c>
      <c r="D159" cm="1">
        <f t="array" aca="1" ref="D159" ca="1">_xlfn.XLOOKUP($B159,INDIRECT($A159&amp;"!A:A"),INDIRECT($A159&amp;"!E:E"),,0,1)</f>
        <v>13.51</v>
      </c>
      <c r="E159" t="str">
        <f t="shared" ca="1" si="2"/>
        <v xml:space="preserve">              162.75,13.51,0</v>
      </c>
    </row>
    <row r="160" spans="1:5" x14ac:dyDescent="0.35">
      <c r="A160" t="s">
        <v>37</v>
      </c>
      <c r="B160">
        <f>COUNTIFS(A$1:A160,A160)-1</f>
        <v>52</v>
      </c>
      <c r="C160" cm="1">
        <f t="array" aca="1" ref="C160" ca="1">_xlfn.XLOOKUP(B160,INDIRECT(A160&amp;"!A:A"),INDIRECT(A160&amp;"!B:B"),,0,1)</f>
        <v>162.5</v>
      </c>
      <c r="D160" cm="1">
        <f t="array" aca="1" ref="D160" ca="1">_xlfn.XLOOKUP($B160,INDIRECT($A160&amp;"!A:A"),INDIRECT($A160&amp;"!E:E"),,0,1)</f>
        <v>14.13</v>
      </c>
      <c r="E160" t="str">
        <f t="shared" ca="1" si="2"/>
        <v xml:space="preserve">              162.5,14.13,0</v>
      </c>
    </row>
    <row r="161" spans="1:5" x14ac:dyDescent="0.35">
      <c r="A161" t="s">
        <v>37</v>
      </c>
      <c r="B161">
        <f>COUNTIFS(A$1:A161,A161)-1</f>
        <v>53</v>
      </c>
      <c r="C161" cm="1">
        <f t="array" aca="1" ref="C161" ca="1">_xlfn.XLOOKUP(B161,INDIRECT(A161&amp;"!A:A"),INDIRECT(A161&amp;"!B:B"),,0,1)</f>
        <v>162.25</v>
      </c>
      <c r="D161" cm="1">
        <f t="array" aca="1" ref="D161" ca="1">_xlfn.XLOOKUP($B161,INDIRECT($A161&amp;"!A:A"),INDIRECT($A161&amp;"!E:E"),,0,1)</f>
        <v>14.74</v>
      </c>
      <c r="E161" t="str">
        <f t="shared" ca="1" si="2"/>
        <v xml:space="preserve">              162.25,14.74,0</v>
      </c>
    </row>
    <row r="162" spans="1:5" x14ac:dyDescent="0.35">
      <c r="A162" t="s">
        <v>37</v>
      </c>
      <c r="B162">
        <f>COUNTIFS(A$1:A162,A162)-1</f>
        <v>54</v>
      </c>
      <c r="C162" cm="1">
        <f t="array" aca="1" ref="C162" ca="1">_xlfn.XLOOKUP(B162,INDIRECT(A162&amp;"!A:A"),INDIRECT(A162&amp;"!B:B"),,0,1)</f>
        <v>162</v>
      </c>
      <c r="D162" cm="1">
        <f t="array" aca="1" ref="D162" ca="1">_xlfn.XLOOKUP($B162,INDIRECT($A162&amp;"!A:A"),INDIRECT($A162&amp;"!E:E"),,0,1)</f>
        <v>15.35</v>
      </c>
      <c r="E162" t="str">
        <f t="shared" ca="1" si="2"/>
        <v xml:space="preserve">              162,15.35,0</v>
      </c>
    </row>
    <row r="163" spans="1:5" x14ac:dyDescent="0.35">
      <c r="A163" t="s">
        <v>37</v>
      </c>
      <c r="B163">
        <f>COUNTIFS(A$1:A163,A163)-1</f>
        <v>55</v>
      </c>
      <c r="C163" cm="1">
        <f t="array" aca="1" ref="C163" ca="1">_xlfn.XLOOKUP(B163,INDIRECT(A163&amp;"!A:A"),INDIRECT(A163&amp;"!B:B"),,0,1)</f>
        <v>161.75</v>
      </c>
      <c r="D163" cm="1">
        <f t="array" aca="1" ref="D163" ca="1">_xlfn.XLOOKUP($B163,INDIRECT($A163&amp;"!A:A"),INDIRECT($A163&amp;"!E:E"),,0,1)</f>
        <v>15.95</v>
      </c>
      <c r="E163" t="str">
        <f t="shared" ca="1" si="2"/>
        <v xml:space="preserve">              161.75,15.95,0</v>
      </c>
    </row>
    <row r="164" spans="1:5" x14ac:dyDescent="0.35">
      <c r="A164" t="s">
        <v>37</v>
      </c>
      <c r="B164">
        <f>COUNTIFS(A$1:A164,A164)-1</f>
        <v>56</v>
      </c>
      <c r="C164" cm="1">
        <f t="array" aca="1" ref="C164" ca="1">_xlfn.XLOOKUP(B164,INDIRECT(A164&amp;"!A:A"),INDIRECT(A164&amp;"!B:B"),,0,1)</f>
        <v>161.5</v>
      </c>
      <c r="D164" cm="1">
        <f t="array" aca="1" ref="D164" ca="1">_xlfn.XLOOKUP($B164,INDIRECT($A164&amp;"!A:A"),INDIRECT($A164&amp;"!E:E"),,0,1)</f>
        <v>16.559999999999999</v>
      </c>
      <c r="E164" t="str">
        <f t="shared" ca="1" si="2"/>
        <v xml:space="preserve">              161.5,16.56,0</v>
      </c>
    </row>
    <row r="165" spans="1:5" x14ac:dyDescent="0.35">
      <c r="A165" t="s">
        <v>37</v>
      </c>
      <c r="B165">
        <f>COUNTIFS(A$1:A165,A165)-1</f>
        <v>57</v>
      </c>
      <c r="C165" cm="1">
        <f t="array" aca="1" ref="C165" ca="1">_xlfn.XLOOKUP(B165,INDIRECT(A165&amp;"!A:A"),INDIRECT(A165&amp;"!B:B"),,0,1)</f>
        <v>161.25</v>
      </c>
      <c r="D165" cm="1">
        <f t="array" aca="1" ref="D165" ca="1">_xlfn.XLOOKUP($B165,INDIRECT($A165&amp;"!A:A"),INDIRECT($A165&amp;"!E:E"),,0,1)</f>
        <v>17.149999999999999</v>
      </c>
      <c r="E165" t="str">
        <f t="shared" ca="1" si="2"/>
        <v xml:space="preserve">              161.25,17.15,0</v>
      </c>
    </row>
    <row r="166" spans="1:5" x14ac:dyDescent="0.35">
      <c r="A166" t="s">
        <v>37</v>
      </c>
      <c r="B166">
        <f>COUNTIFS(A$1:A166,A166)-1</f>
        <v>58</v>
      </c>
      <c r="C166" cm="1">
        <f t="array" aca="1" ref="C166" ca="1">_xlfn.XLOOKUP(B166,INDIRECT(A166&amp;"!A:A"),INDIRECT(A166&amp;"!B:B"),,0,1)</f>
        <v>161</v>
      </c>
      <c r="D166" cm="1">
        <f t="array" aca="1" ref="D166" ca="1">_xlfn.XLOOKUP($B166,INDIRECT($A166&amp;"!A:A"),INDIRECT($A166&amp;"!E:E"),,0,1)</f>
        <v>17.75</v>
      </c>
      <c r="E166" t="str">
        <f t="shared" ca="1" si="2"/>
        <v xml:space="preserve">              161,17.75,0</v>
      </c>
    </row>
    <row r="167" spans="1:5" x14ac:dyDescent="0.35">
      <c r="A167" t="s">
        <v>37</v>
      </c>
      <c r="B167">
        <f>COUNTIFS(A$1:A167,A167)-1</f>
        <v>59</v>
      </c>
      <c r="C167" cm="1">
        <f t="array" aca="1" ref="C167" ca="1">_xlfn.XLOOKUP(B167,INDIRECT(A167&amp;"!A:A"),INDIRECT(A167&amp;"!B:B"),,0,1)</f>
        <v>160.75</v>
      </c>
      <c r="D167" cm="1">
        <f t="array" aca="1" ref="D167" ca="1">_xlfn.XLOOKUP($B167,INDIRECT($A167&amp;"!A:A"),INDIRECT($A167&amp;"!E:E"),,0,1)</f>
        <v>18.34</v>
      </c>
      <c r="E167" t="str">
        <f t="shared" ca="1" si="2"/>
        <v xml:space="preserve">              160.75,18.34,0</v>
      </c>
    </row>
    <row r="168" spans="1:5" x14ac:dyDescent="0.35">
      <c r="A168" t="s">
        <v>37</v>
      </c>
      <c r="B168">
        <f>COUNTIFS(A$1:A168,A168)-1</f>
        <v>60</v>
      </c>
      <c r="C168" cm="1">
        <f t="array" aca="1" ref="C168" ca="1">_xlfn.XLOOKUP(B168,INDIRECT(A168&amp;"!A:A"),INDIRECT(A168&amp;"!B:B"),,0,1)</f>
        <v>160.5</v>
      </c>
      <c r="D168" cm="1">
        <f t="array" aca="1" ref="D168" ca="1">_xlfn.XLOOKUP($B168,INDIRECT($A168&amp;"!A:A"),INDIRECT($A168&amp;"!E:E"),,0,1)</f>
        <v>18.920000000000002</v>
      </c>
      <c r="E168" t="str">
        <f t="shared" ca="1" si="2"/>
        <v xml:space="preserve">              160.5,18.92,0</v>
      </c>
    </row>
    <row r="169" spans="1:5" x14ac:dyDescent="0.35">
      <c r="A169" t="s">
        <v>37</v>
      </c>
      <c r="B169">
        <f>COUNTIFS(A$1:A169,A169)-1</f>
        <v>61</v>
      </c>
      <c r="C169" cm="1">
        <f t="array" aca="1" ref="C169" ca="1">_xlfn.XLOOKUP(B169,INDIRECT(A169&amp;"!A:A"),INDIRECT(A169&amp;"!B:B"),,0,1)</f>
        <v>160.25</v>
      </c>
      <c r="D169" cm="1">
        <f t="array" aca="1" ref="D169" ca="1">_xlfn.XLOOKUP($B169,INDIRECT($A169&amp;"!A:A"),INDIRECT($A169&amp;"!E:E"),,0,1)</f>
        <v>19.5</v>
      </c>
      <c r="E169" t="str">
        <f t="shared" ca="1" si="2"/>
        <v xml:space="preserve">              160.25,19.5,0</v>
      </c>
    </row>
    <row r="170" spans="1:5" x14ac:dyDescent="0.35">
      <c r="E170" t="s">
        <v>26</v>
      </c>
    </row>
    <row r="171" spans="1:5" x14ac:dyDescent="0.35">
      <c r="E171" t="s">
        <v>27</v>
      </c>
    </row>
    <row r="172" spans="1:5" x14ac:dyDescent="0.35">
      <c r="E172" t="s">
        <v>28</v>
      </c>
    </row>
    <row r="173" spans="1:5" x14ac:dyDescent="0.35">
      <c r="E173" t="s">
        <v>29</v>
      </c>
    </row>
    <row r="174" spans="1:5" x14ac:dyDescent="0.35">
      <c r="E17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9627-E50F-44F3-9E1D-A0ECB05039C8}">
  <dimension ref="A1:E19"/>
  <sheetViews>
    <sheetView workbookViewId="0"/>
  </sheetViews>
  <sheetFormatPr defaultRowHeight="14.5" x14ac:dyDescent="0.35"/>
  <cols>
    <col min="1" max="1" width="9.54296875" bestFit="1" customWidth="1"/>
    <col min="2" max="2" width="5.08984375" bestFit="1" customWidth="1"/>
    <col min="5" max="5" width="27.1796875" bestFit="1" customWidth="1"/>
  </cols>
  <sheetData>
    <row r="1" spans="1:5" x14ac:dyDescent="0.35">
      <c r="A1" t="s">
        <v>34</v>
      </c>
      <c r="B1" t="s">
        <v>10</v>
      </c>
      <c r="C1" t="s">
        <v>32</v>
      </c>
      <c r="D1" t="s">
        <v>11</v>
      </c>
      <c r="E1" t="s">
        <v>14</v>
      </c>
    </row>
    <row r="2" spans="1:5" x14ac:dyDescent="0.35">
      <c r="E2" t="s">
        <v>20</v>
      </c>
    </row>
    <row r="3" spans="1:5" x14ac:dyDescent="0.35">
      <c r="E3" t="s">
        <v>38</v>
      </c>
    </row>
    <row r="4" spans="1:5" x14ac:dyDescent="0.35">
      <c r="E4" t="s">
        <v>21</v>
      </c>
    </row>
    <row r="5" spans="1:5" x14ac:dyDescent="0.35">
      <c r="E5" t="s">
        <v>33</v>
      </c>
    </row>
    <row r="6" spans="1:5" x14ac:dyDescent="0.35">
      <c r="E6" t="s">
        <v>22</v>
      </c>
    </row>
    <row r="7" spans="1:5" x14ac:dyDescent="0.35">
      <c r="E7" t="s">
        <v>23</v>
      </c>
    </row>
    <row r="8" spans="1:5" x14ac:dyDescent="0.35">
      <c r="E8" t="s">
        <v>24</v>
      </c>
    </row>
    <row r="9" spans="1:5" x14ac:dyDescent="0.35">
      <c r="E9" t="s">
        <v>25</v>
      </c>
    </row>
    <row r="10" spans="1:5" x14ac:dyDescent="0.35">
      <c r="A10" t="s">
        <v>35</v>
      </c>
      <c r="B10">
        <v>0</v>
      </c>
      <c r="C10" cm="1">
        <f t="array" aca="1" ref="C10" ca="1">_xlfn.XLOOKUP($B10,INDIRECT($A10&amp;"!A:A"),INDIRECT($A10&amp;"!B:B"),,0,1)</f>
        <v>160.25</v>
      </c>
      <c r="D10" cm="1">
        <f t="array" aca="1" ref="D10" ca="1">_xlfn.XLOOKUP($B10,INDIRECT($A10&amp;"!A:A"),INDIRECT($A10&amp;"!E:E"),,0,1)</f>
        <v>19.5</v>
      </c>
      <c r="E10" t="str">
        <f ca="1">"              "&amp;C10&amp;","&amp;D10&amp;",0"</f>
        <v xml:space="preserve">              160.25,19.5,0</v>
      </c>
    </row>
    <row r="11" spans="1:5" x14ac:dyDescent="0.35">
      <c r="A11" t="s">
        <v>35</v>
      </c>
      <c r="B11">
        <v>79</v>
      </c>
      <c r="C11" cm="1">
        <f t="array" aca="1" ref="C11" ca="1">_xlfn.XLOOKUP(B11,INDIRECT(A11&amp;"!A:A"),INDIRECT(A11&amp;"!B:B"),,0,1)</f>
        <v>180</v>
      </c>
      <c r="D11" cm="1">
        <f t="array" aca="1" ref="D11" ca="1">_xlfn.XLOOKUP($B11,INDIRECT($A11&amp;"!A:A"),INDIRECT($A11&amp;"!E:E"),,0,1)</f>
        <v>38.520000000000003</v>
      </c>
      <c r="E11" t="str">
        <f t="shared" ref="E11:E13" ca="1" si="0">"              "&amp;C11&amp;","&amp;D11&amp;",0"</f>
        <v xml:space="preserve">              180,38.52,0</v>
      </c>
    </row>
    <row r="12" spans="1:5" x14ac:dyDescent="0.35">
      <c r="A12" t="s">
        <v>36</v>
      </c>
      <c r="B12">
        <v>0</v>
      </c>
      <c r="C12" cm="1">
        <f t="array" aca="1" ref="C12" ca="1">_xlfn.XLOOKUP(B12,INDIRECT(A12&amp;"!A:A"),INDIRECT(A12&amp;"!B:B"),,0,1)</f>
        <v>180</v>
      </c>
      <c r="D12" cm="1">
        <f t="array" aca="1" ref="D12" ca="1">_xlfn.XLOOKUP($B12,INDIRECT($A12&amp;"!A:A"),INDIRECT($A12&amp;"!E:E"),,0,1)</f>
        <v>-20</v>
      </c>
      <c r="E12" t="str">
        <f t="shared" ca="1" si="0"/>
        <v xml:space="preserve">              180,-20,0</v>
      </c>
    </row>
    <row r="13" spans="1:5" x14ac:dyDescent="0.35">
      <c r="A13" t="s">
        <v>36</v>
      </c>
      <c r="B13">
        <v>17</v>
      </c>
      <c r="C13" cm="1">
        <f t="array" aca="1" ref="C13" ca="1">_xlfn.XLOOKUP(B13,INDIRECT(A13&amp;"!A:A"),INDIRECT(A13&amp;"!B:B"),,0,1)</f>
        <v>175.75</v>
      </c>
      <c r="D13" cm="1">
        <f t="array" aca="1" ref="D13" ca="1">_xlfn.XLOOKUP($B13,INDIRECT($A13&amp;"!A:A"),INDIRECT($A13&amp;"!E:E"),,0,1)</f>
        <v>-19.5</v>
      </c>
      <c r="E13" t="str">
        <f t="shared" ca="1" si="0"/>
        <v xml:space="preserve">              175.75,-19.5,0</v>
      </c>
    </row>
    <row r="14" spans="1:5" x14ac:dyDescent="0.35">
      <c r="A14" t="s">
        <v>37</v>
      </c>
      <c r="B14">
        <v>61</v>
      </c>
      <c r="C14" cm="1">
        <f t="array" aca="1" ref="C14" ca="1">_xlfn.XLOOKUP(B14,INDIRECT(A14&amp;"!A:A"),INDIRECT(A14&amp;"!B:B"),,0,1)</f>
        <v>160.25</v>
      </c>
      <c r="D14" cm="1">
        <f t="array" aca="1" ref="D14" ca="1">_xlfn.XLOOKUP($B14,INDIRECT($A14&amp;"!A:A"),INDIRECT($A14&amp;"!E:E"),,0,1)</f>
        <v>19.5</v>
      </c>
      <c r="E14" t="str">
        <f t="shared" ref="E14" ca="1" si="1">"              "&amp;C14&amp;","&amp;D14&amp;",0"</f>
        <v xml:space="preserve">              160.25,19.5,0</v>
      </c>
    </row>
    <row r="15" spans="1:5" x14ac:dyDescent="0.35">
      <c r="E15" t="s">
        <v>26</v>
      </c>
    </row>
    <row r="16" spans="1:5" x14ac:dyDescent="0.35">
      <c r="E16" t="s">
        <v>27</v>
      </c>
    </row>
    <row r="17" spans="5:5" x14ac:dyDescent="0.35">
      <c r="E17" t="s">
        <v>28</v>
      </c>
    </row>
    <row r="18" spans="5:5" x14ac:dyDescent="0.35">
      <c r="E18" t="s">
        <v>29</v>
      </c>
    </row>
    <row r="19" spans="5:5" x14ac:dyDescent="0.35">
      <c r="E19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8CDE-4373-4984-99B8-051000197DC4}">
  <dimension ref="A1:F85"/>
  <sheetViews>
    <sheetView workbookViewId="0"/>
  </sheetViews>
  <sheetFormatPr defaultRowHeight="14.5" x14ac:dyDescent="0.35"/>
  <cols>
    <col min="1" max="1" width="11.54296875" style="1" bestFit="1" customWidth="1"/>
    <col min="2" max="2" width="18.08984375" style="1" bestFit="1" customWidth="1"/>
    <col min="3" max="3" width="8.453125" style="1" bestFit="1" customWidth="1"/>
    <col min="4" max="4" width="7.453125" style="1" bestFit="1" customWidth="1"/>
    <col min="5" max="5" width="10.453125" style="1" bestFit="1" customWidth="1"/>
  </cols>
  <sheetData>
    <row r="1" spans="1:6" s="9" customFormat="1" x14ac:dyDescent="0.35">
      <c r="A1" s="9" t="s">
        <v>15</v>
      </c>
      <c r="B1" s="9" t="s">
        <v>17</v>
      </c>
    </row>
    <row r="2" spans="1:6" x14ac:dyDescent="0.35">
      <c r="A2" s="9" t="s">
        <v>0</v>
      </c>
      <c r="B2" s="1">
        <v>19.5</v>
      </c>
    </row>
    <row r="3" spans="1:6" x14ac:dyDescent="0.35">
      <c r="A3" s="9" t="s">
        <v>1</v>
      </c>
      <c r="B3" s="1">
        <v>160.25</v>
      </c>
    </row>
    <row r="4" spans="1:6" x14ac:dyDescent="0.35">
      <c r="A4" s="9" t="s">
        <v>2</v>
      </c>
      <c r="B4" s="1">
        <v>48.2</v>
      </c>
    </row>
    <row r="5" spans="1:6" x14ac:dyDescent="0.35">
      <c r="A5" s="9" t="s">
        <v>3</v>
      </c>
      <c r="B5" s="1">
        <v>-162</v>
      </c>
    </row>
    <row r="6" spans="1:6" x14ac:dyDescent="0.35">
      <c r="A6" s="9" t="s">
        <v>4</v>
      </c>
      <c r="B6" s="1" t="str">
        <f>IF(AND(B2=-B4, MOD(ABS(B3-B5), 360)=180), "ERROR: Antipodal Points", "Valid")</f>
        <v>Valid</v>
      </c>
    </row>
    <row r="7" spans="1:6" x14ac:dyDescent="0.35">
      <c r="A7" s="9" t="s">
        <v>5</v>
      </c>
      <c r="B7" s="2">
        <f>(TAN(RADIANS(B2))*COS(RADIANS(B5))-TAN(RADIANS(B4))*COS(RADIANS(B3)))/SIN(RADIANS(B3)-RADIANS(B5))</f>
        <v>-1.1692928900872517</v>
      </c>
    </row>
    <row r="8" spans="1:6" x14ac:dyDescent="0.35">
      <c r="A8" s="9" t="s">
        <v>6</v>
      </c>
      <c r="B8" s="2">
        <f>(SIN(RADIANS(B3))*TAN(RADIANS(B4))-SIN(RADIANS(B5))*TAN(RADIANS(B2)))/SIN(RADIANS(B3)-RADIANS(B5))</f>
        <v>-0.79607021023534885</v>
      </c>
    </row>
    <row r="9" spans="1:6" x14ac:dyDescent="0.35">
      <c r="A9" s="9" t="s">
        <v>7</v>
      </c>
      <c r="B9" s="1">
        <f>ROUNDUP(DEGREES(ATAN(SQRT(B7^2 + B8^2))),3)</f>
        <v>54.742999999999995</v>
      </c>
    </row>
    <row r="10" spans="1:6" x14ac:dyDescent="0.35">
      <c r="A10" s="9" t="s">
        <v>8</v>
      </c>
      <c r="B10" s="1" t="b">
        <f>OR(MOD(B3-B5, 180)=0, ABS(B2)=90, ABS(B4)=90)</f>
        <v>0</v>
      </c>
    </row>
    <row r="11" spans="1:6" x14ac:dyDescent="0.35">
      <c r="A11" s="9"/>
    </row>
    <row r="12" spans="1:6" s="9" customFormat="1" x14ac:dyDescent="0.35">
      <c r="A12" s="9" t="s">
        <v>10</v>
      </c>
      <c r="B12" s="9" t="s">
        <v>9</v>
      </c>
      <c r="C12" s="9" t="s">
        <v>11</v>
      </c>
      <c r="D12" s="9" t="s">
        <v>12</v>
      </c>
      <c r="E12" s="9" t="s">
        <v>13</v>
      </c>
      <c r="F12" s="9" t="s">
        <v>14</v>
      </c>
    </row>
    <row r="13" spans="1:6" x14ac:dyDescent="0.35">
      <c r="A13" s="6">
        <f>COUNTA(A$12:A12)-1</f>
        <v>0</v>
      </c>
      <c r="B13" s="7">
        <v>-180</v>
      </c>
      <c r="C13" s="8">
        <f t="shared" ref="C13:C62" si="0">DEGREES(ATAN($B$7 * SIN(RADIANS(B13)) + $B$8 * COS(RADIANS(B13))))</f>
        <v>38.522251919169626</v>
      </c>
      <c r="D13" s="8" t="str">
        <f t="shared" ref="D13:D62" si="1">IF(C12="Lat","",C13-C12)</f>
        <v/>
      </c>
      <c r="E13" s="10">
        <f t="shared" ref="E13:E62" si="2">ROUND(C13,2)</f>
        <v>38.520000000000003</v>
      </c>
      <c r="F13" t="str">
        <f t="shared" ref="F13:F62" si="3">"&lt;Placemark&gt;&lt;name&gt;"&amp;E13&amp;","&amp;B13&amp;"&lt;/name&gt;&lt;Point&gt;&lt;coordinates&gt;"&amp;B13&amp;","&amp;E13&amp;",0&lt;/coordinates&gt;&lt;/Point&gt;&lt;/Placemark&gt;"</f>
        <v>&lt;Placemark&gt;&lt;name&gt;38.52,-180&lt;/name&gt;&lt;Point&gt;&lt;coordinates&gt;-180,38.52,0&lt;/coordinates&gt;&lt;/Point&gt;&lt;/Placemark&gt;</v>
      </c>
    </row>
    <row r="14" spans="1:6" x14ac:dyDescent="0.35">
      <c r="A14" s="1">
        <f>COUNTA(A$12:A13)-1</f>
        <v>1</v>
      </c>
      <c r="B14" s="3">
        <f>IF(B13&gt;=180,ROUND(B13,2)+0.25-360,ROUND(B13,2)+0.25)</f>
        <v>-179.75</v>
      </c>
      <c r="C14" s="4">
        <f t="shared" si="0"/>
        <v>38.700472791076869</v>
      </c>
      <c r="D14" s="4">
        <f t="shared" si="1"/>
        <v>0.17822087190724289</v>
      </c>
      <c r="E14" s="5">
        <f t="shared" si="2"/>
        <v>38.700000000000003</v>
      </c>
      <c r="F14" t="str">
        <f t="shared" si="3"/>
        <v>&lt;Placemark&gt;&lt;name&gt;38.7,-179.75&lt;/name&gt;&lt;Point&gt;&lt;coordinates&gt;-179.75,38.7,0&lt;/coordinates&gt;&lt;/Point&gt;&lt;/Placemark&gt;</v>
      </c>
    </row>
    <row r="15" spans="1:6" x14ac:dyDescent="0.35">
      <c r="A15" s="1">
        <f>COUNTA(A$12:A14)-1</f>
        <v>2</v>
      </c>
      <c r="B15" s="3">
        <f t="shared" ref="B15:B78" si="4">IF(B14&gt;=180,ROUND(B14,2)+0.25-360,ROUND(B14,2)+0.25)</f>
        <v>-179.5</v>
      </c>
      <c r="C15" s="4">
        <f t="shared" si="0"/>
        <v>38.877280155037084</v>
      </c>
      <c r="D15" s="4">
        <f t="shared" si="1"/>
        <v>0.17680736396021501</v>
      </c>
      <c r="E15" s="5">
        <f t="shared" si="2"/>
        <v>38.880000000000003</v>
      </c>
      <c r="F15" t="str">
        <f t="shared" si="3"/>
        <v>&lt;Placemark&gt;&lt;name&gt;38.88,-179.5&lt;/name&gt;&lt;Point&gt;&lt;coordinates&gt;-179.5,38.88,0&lt;/coordinates&gt;&lt;/Point&gt;&lt;/Placemark&gt;</v>
      </c>
    </row>
    <row r="16" spans="1:6" x14ac:dyDescent="0.35">
      <c r="A16" s="1">
        <f>COUNTA(A$12:A15)-1</f>
        <v>3</v>
      </c>
      <c r="B16" s="3">
        <f t="shared" si="4"/>
        <v>-179.25</v>
      </c>
      <c r="C16" s="4">
        <f t="shared" si="0"/>
        <v>39.052681728661192</v>
      </c>
      <c r="D16" s="4">
        <f t="shared" si="1"/>
        <v>0.17540157362410724</v>
      </c>
      <c r="E16" s="5">
        <f t="shared" si="2"/>
        <v>39.049999999999997</v>
      </c>
      <c r="F16" t="str">
        <f t="shared" si="3"/>
        <v>&lt;Placemark&gt;&lt;name&gt;39.05,-179.25&lt;/name&gt;&lt;Point&gt;&lt;coordinates&gt;-179.25,39.05,0&lt;/coordinates&gt;&lt;/Point&gt;&lt;/Placemark&gt;</v>
      </c>
    </row>
    <row r="17" spans="1:6" x14ac:dyDescent="0.35">
      <c r="A17" s="1">
        <f>COUNTA(A$12:A16)-1</f>
        <v>4</v>
      </c>
      <c r="B17" s="3">
        <f t="shared" si="4"/>
        <v>-179</v>
      </c>
      <c r="C17" s="4">
        <f t="shared" si="0"/>
        <v>39.226685259422617</v>
      </c>
      <c r="D17" s="4">
        <f t="shared" si="1"/>
        <v>0.17400353076142494</v>
      </c>
      <c r="E17" s="5">
        <f t="shared" si="2"/>
        <v>39.229999999999997</v>
      </c>
      <c r="F17" t="str">
        <f t="shared" si="3"/>
        <v>&lt;Placemark&gt;&lt;name&gt;39.23,-179&lt;/name&gt;&lt;Point&gt;&lt;coordinates&gt;-179,39.23,0&lt;/coordinates&gt;&lt;/Point&gt;&lt;/Placemark&gt;</v>
      </c>
    </row>
    <row r="18" spans="1:6" x14ac:dyDescent="0.35">
      <c r="A18" s="1">
        <f>COUNTA(A$12:A17)-1</f>
        <v>5</v>
      </c>
      <c r="B18" s="3">
        <f t="shared" si="4"/>
        <v>-178.75</v>
      </c>
      <c r="C18" s="4">
        <f t="shared" si="0"/>
        <v>39.39929852151775</v>
      </c>
      <c r="D18" s="4">
        <f t="shared" si="1"/>
        <v>0.17261326209513328</v>
      </c>
      <c r="E18" s="5">
        <f t="shared" si="2"/>
        <v>39.4</v>
      </c>
      <c r="F18" t="str">
        <f t="shared" si="3"/>
        <v>&lt;Placemark&gt;&lt;name&gt;39.4,-178.75&lt;/name&gt;&lt;Point&gt;&lt;coordinates&gt;-178.75,39.4,0&lt;/coordinates&gt;&lt;/Point&gt;&lt;/Placemark&gt;</v>
      </c>
    </row>
    <row r="19" spans="1:6" x14ac:dyDescent="0.35">
      <c r="A19" s="1">
        <f>COUNTA(A$12:A18)-1</f>
        <v>6</v>
      </c>
      <c r="B19" s="3">
        <f t="shared" si="4"/>
        <v>-178.5</v>
      </c>
      <c r="C19" s="4">
        <f t="shared" si="0"/>
        <v>39.570529312814301</v>
      </c>
      <c r="D19" s="4">
        <f t="shared" si="1"/>
        <v>0.17123079129655139</v>
      </c>
      <c r="E19" s="5">
        <f t="shared" si="2"/>
        <v>39.57</v>
      </c>
      <c r="F19" t="str">
        <f t="shared" si="3"/>
        <v>&lt;Placemark&gt;&lt;name&gt;39.57,-178.5&lt;/name&gt;&lt;Point&gt;&lt;coordinates&gt;-178.5,39.57,0&lt;/coordinates&gt;&lt;/Point&gt;&lt;/Placemark&gt;</v>
      </c>
    </row>
    <row r="20" spans="1:6" x14ac:dyDescent="0.35">
      <c r="A20" s="1">
        <f>COUNTA(A$12:A19)-1</f>
        <v>7</v>
      </c>
      <c r="B20" s="3">
        <f t="shared" si="4"/>
        <v>-178.25</v>
      </c>
      <c r="C20" s="4">
        <f t="shared" si="0"/>
        <v>39.740385451886532</v>
      </c>
      <c r="D20" s="4">
        <f t="shared" si="1"/>
        <v>0.16985613907223041</v>
      </c>
      <c r="E20" s="5">
        <f t="shared" si="2"/>
        <v>39.74</v>
      </c>
      <c r="F20" t="str">
        <f t="shared" si="3"/>
        <v>&lt;Placemark&gt;&lt;name&gt;39.74,-178.25&lt;/name&gt;&lt;Point&gt;&lt;coordinates&gt;-178.25,39.74,0&lt;/coordinates&gt;&lt;/Point&gt;&lt;/Placemark&gt;</v>
      </c>
    </row>
    <row r="21" spans="1:6" x14ac:dyDescent="0.35">
      <c r="A21" s="1">
        <f>COUNTA(A$12:A20)-1</f>
        <v>8</v>
      </c>
      <c r="B21" s="3">
        <f t="shared" si="4"/>
        <v>-178</v>
      </c>
      <c r="C21" s="4">
        <f t="shared" si="0"/>
        <v>39.90887477513575</v>
      </c>
      <c r="D21" s="4">
        <f t="shared" si="1"/>
        <v>0.16848932324921861</v>
      </c>
      <c r="E21" s="5">
        <f t="shared" si="2"/>
        <v>39.909999999999997</v>
      </c>
      <c r="F21" t="str">
        <f t="shared" si="3"/>
        <v>&lt;Placemark&gt;&lt;name&gt;39.91,-178&lt;/name&gt;&lt;Point&gt;&lt;coordinates&gt;-178,39.91,0&lt;/coordinates&gt;&lt;/Point&gt;&lt;/Placemark&gt;</v>
      </c>
    </row>
    <row r="22" spans="1:6" x14ac:dyDescent="0.35">
      <c r="A22" s="1">
        <f>COUNTA(A$12:A21)-1</f>
        <v>9</v>
      </c>
      <c r="B22" s="3">
        <f t="shared" si="4"/>
        <v>-177.75</v>
      </c>
      <c r="C22" s="4">
        <f t="shared" si="0"/>
        <v>40.07600513399467</v>
      </c>
      <c r="D22" s="4">
        <f t="shared" si="1"/>
        <v>0.16713035885891969</v>
      </c>
      <c r="E22" s="5">
        <f t="shared" si="2"/>
        <v>40.08</v>
      </c>
      <c r="F22" t="str">
        <f t="shared" si="3"/>
        <v>&lt;Placemark&gt;&lt;name&gt;40.08,-177.75&lt;/name&gt;&lt;Point&gt;&lt;coordinates&gt;-177.75,40.08,0&lt;/coordinates&gt;&lt;/Point&gt;&lt;/Placemark&gt;</v>
      </c>
    </row>
    <row r="23" spans="1:6" x14ac:dyDescent="0.35">
      <c r="A23" s="1">
        <f>COUNTA(A$12:A22)-1</f>
        <v>10</v>
      </c>
      <c r="B23" s="3">
        <f t="shared" si="4"/>
        <v>-177.5</v>
      </c>
      <c r="C23" s="4">
        <f t="shared" si="0"/>
        <v>40.241784392214619</v>
      </c>
      <c r="D23" s="4">
        <f t="shared" si="1"/>
        <v>0.1657792582199491</v>
      </c>
      <c r="E23" s="5">
        <f t="shared" si="2"/>
        <v>40.24</v>
      </c>
      <c r="F23" t="str">
        <f t="shared" si="3"/>
        <v>&lt;Placemark&gt;&lt;name&gt;40.24,-177.5&lt;/name&gt;&lt;Point&gt;&lt;coordinates&gt;-177.5,40.24,0&lt;/coordinates&gt;&lt;/Point&gt;&lt;/Placemark&gt;</v>
      </c>
    </row>
    <row r="24" spans="1:6" x14ac:dyDescent="0.35">
      <c r="A24" s="1">
        <f>COUNTA(A$12:A23)-1</f>
        <v>11</v>
      </c>
      <c r="B24" s="3">
        <f t="shared" si="4"/>
        <v>-177.25</v>
      </c>
      <c r="C24" s="4">
        <f t="shared" si="0"/>
        <v>40.406220423233584</v>
      </c>
      <c r="D24" s="4">
        <f t="shared" si="1"/>
        <v>0.16443603101896542</v>
      </c>
      <c r="E24" s="5">
        <f t="shared" si="2"/>
        <v>40.409999999999997</v>
      </c>
      <c r="F24" t="str">
        <f t="shared" si="3"/>
        <v>&lt;Placemark&gt;&lt;name&gt;40.41,-177.25&lt;/name&gt;&lt;Point&gt;&lt;coordinates&gt;-177.25,40.41,0&lt;/coordinates&gt;&lt;/Point&gt;&lt;/Placemark&gt;</v>
      </c>
    </row>
    <row r="25" spans="1:6" x14ac:dyDescent="0.35">
      <c r="A25" s="1">
        <f>COUNTA(A$12:A24)-1</f>
        <v>12</v>
      </c>
      <c r="B25" s="3">
        <f t="shared" si="4"/>
        <v>-177</v>
      </c>
      <c r="C25" s="4">
        <f t="shared" si="0"/>
        <v>40.569321107624233</v>
      </c>
      <c r="D25" s="4">
        <f t="shared" si="1"/>
        <v>0.16310068439064906</v>
      </c>
      <c r="E25" s="5">
        <f t="shared" si="2"/>
        <v>40.57</v>
      </c>
      <c r="F25" t="str">
        <f t="shared" si="3"/>
        <v>&lt;Placemark&gt;&lt;name&gt;40.57,-177&lt;/name&gt;&lt;Point&gt;&lt;coordinates&gt;-177,40.57,0&lt;/coordinates&gt;&lt;/Point&gt;&lt;/Placemark&gt;</v>
      </c>
    </row>
    <row r="26" spans="1:6" x14ac:dyDescent="0.35">
      <c r="A26" s="1">
        <f>COUNTA(A$12:A25)-1</f>
        <v>13</v>
      </c>
      <c r="B26" s="3">
        <f t="shared" si="4"/>
        <v>-176.75</v>
      </c>
      <c r="C26" s="4">
        <f t="shared" si="0"/>
        <v>40.73109433062028</v>
      </c>
      <c r="D26" s="4">
        <f t="shared" si="1"/>
        <v>0.16177322299604668</v>
      </c>
      <c r="E26" s="5">
        <f t="shared" si="2"/>
        <v>40.729999999999997</v>
      </c>
      <c r="F26" t="str">
        <f t="shared" si="3"/>
        <v>&lt;Placemark&gt;&lt;name&gt;40.73,-176.75&lt;/name&gt;&lt;Point&gt;&lt;coordinates&gt;-176.75,40.73,0&lt;/coordinates&gt;&lt;/Point&gt;&lt;/Placemark&gt;</v>
      </c>
    </row>
    <row r="27" spans="1:6" x14ac:dyDescent="0.35">
      <c r="A27" s="1">
        <f>COUNTA(A$12:A26)-1</f>
        <v>14</v>
      </c>
      <c r="B27" s="3">
        <f t="shared" si="4"/>
        <v>-176.5</v>
      </c>
      <c r="C27" s="4">
        <f t="shared" si="0"/>
        <v>40.891547979719455</v>
      </c>
      <c r="D27" s="4">
        <f t="shared" si="1"/>
        <v>0.16045364909917481</v>
      </c>
      <c r="E27" s="5">
        <f t="shared" si="2"/>
        <v>40.89</v>
      </c>
      <c r="F27" t="str">
        <f t="shared" si="3"/>
        <v>&lt;Placemark&gt;&lt;name&gt;40.89,-176.5&lt;/name&gt;&lt;Point&gt;&lt;coordinates&gt;-176.5,40.89,0&lt;/coordinates&gt;&lt;/Point&gt;&lt;/Placemark&gt;</v>
      </c>
    </row>
    <row r="28" spans="1:6" x14ac:dyDescent="0.35">
      <c r="A28" s="1">
        <f>COUNTA(A$12:A27)-1</f>
        <v>15</v>
      </c>
      <c r="B28" s="3">
        <f t="shared" si="4"/>
        <v>-176.25</v>
      </c>
      <c r="C28" s="4">
        <f t="shared" si="0"/>
        <v>41.050689942362261</v>
      </c>
      <c r="D28" s="4">
        <f t="shared" si="1"/>
        <v>0.15914196264280633</v>
      </c>
      <c r="E28" s="5">
        <f t="shared" si="2"/>
        <v>41.05</v>
      </c>
      <c r="F28" t="str">
        <f t="shared" si="3"/>
        <v>&lt;Placemark&gt;&lt;name&gt;41.05,-176.25&lt;/name&gt;&lt;Point&gt;&lt;coordinates&gt;-176.25,41.05,0&lt;/coordinates&gt;&lt;/Point&gt;&lt;/Placemark&gt;</v>
      </c>
    </row>
    <row r="29" spans="1:6" x14ac:dyDescent="0.35">
      <c r="A29" s="1">
        <f>COUNTA(A$12:A28)-1</f>
        <v>16</v>
      </c>
      <c r="B29" s="3">
        <f t="shared" si="4"/>
        <v>-176</v>
      </c>
      <c r="C29" s="4">
        <f t="shared" si="0"/>
        <v>41.208528103684444</v>
      </c>
      <c r="D29" s="4">
        <f t="shared" si="1"/>
        <v>0.1578381613221822</v>
      </c>
      <c r="E29" s="5">
        <f t="shared" si="2"/>
        <v>41.21</v>
      </c>
      <c r="F29" t="str">
        <f t="shared" si="3"/>
        <v>&lt;Placemark&gt;&lt;name&gt;41.21,-176&lt;/name&gt;&lt;Point&gt;&lt;coordinates&gt;-176,41.21,0&lt;/coordinates&gt;&lt;/Point&gt;&lt;/Placemark&gt;</v>
      </c>
    </row>
    <row r="30" spans="1:6" x14ac:dyDescent="0.35">
      <c r="A30" s="1">
        <f>COUNTA(A$12:A29)-1</f>
        <v>17</v>
      </c>
      <c r="B30" s="3">
        <f t="shared" si="4"/>
        <v>-175.75</v>
      </c>
      <c r="C30" s="4">
        <f t="shared" si="0"/>
        <v>41.365070344342129</v>
      </c>
      <c r="D30" s="4">
        <f t="shared" si="1"/>
        <v>0.15654224065768574</v>
      </c>
      <c r="E30" s="5">
        <f t="shared" si="2"/>
        <v>41.37</v>
      </c>
      <c r="F30" t="str">
        <f t="shared" si="3"/>
        <v>&lt;Placemark&gt;&lt;name&gt;41.37,-175.75&lt;/name&gt;&lt;Point&gt;&lt;coordinates&gt;-175.75,41.37,0&lt;/coordinates&gt;&lt;/Point&gt;&lt;/Placemark&gt;</v>
      </c>
    </row>
    <row r="31" spans="1:6" x14ac:dyDescent="0.35">
      <c r="A31" s="1">
        <f>COUNTA(A$12:A30)-1</f>
        <v>18</v>
      </c>
      <c r="B31" s="3">
        <f t="shared" si="4"/>
        <v>-175.5</v>
      </c>
      <c r="C31" s="4">
        <f t="shared" si="0"/>
        <v>41.520324538408076</v>
      </c>
      <c r="D31" s="4">
        <f t="shared" si="1"/>
        <v>0.15525419406594665</v>
      </c>
      <c r="E31" s="5">
        <f t="shared" si="2"/>
        <v>41.52</v>
      </c>
      <c r="F31" t="str">
        <f t="shared" si="3"/>
        <v>&lt;Placemark&gt;&lt;name&gt;41.52,-175.5&lt;/name&gt;&lt;Point&gt;&lt;coordinates&gt;-175.5,41.52,0&lt;/coordinates&gt;&lt;/Point&gt;&lt;/Placemark&gt;</v>
      </c>
    </row>
    <row r="32" spans="1:6" x14ac:dyDescent="0.35">
      <c r="A32" s="1">
        <f>COUNTA(A$12:A31)-1</f>
        <v>19</v>
      </c>
      <c r="B32" s="3">
        <f t="shared" si="4"/>
        <v>-175.25</v>
      </c>
      <c r="C32" s="4">
        <f t="shared" si="0"/>
        <v>41.674298551337422</v>
      </c>
      <c r="D32" s="4">
        <f t="shared" si="1"/>
        <v>0.15397401292934632</v>
      </c>
      <c r="E32" s="5">
        <f t="shared" si="2"/>
        <v>41.67</v>
      </c>
      <c r="F32" t="str">
        <f t="shared" si="3"/>
        <v>&lt;Placemark&gt;&lt;name&gt;41.67,-175.25&lt;/name&gt;&lt;Point&gt;&lt;coordinates&gt;-175.25,41.67,0&lt;/coordinates&gt;&lt;/Point&gt;&lt;/Placemark&gt;</v>
      </c>
    </row>
    <row r="33" spans="1:6" x14ac:dyDescent="0.35">
      <c r="A33" s="1">
        <f>COUNTA(A$12:A32)-1</f>
        <v>20</v>
      </c>
      <c r="B33" s="3">
        <f t="shared" si="4"/>
        <v>-175</v>
      </c>
      <c r="C33" s="4">
        <f t="shared" si="0"/>
        <v>41.827000238001823</v>
      </c>
      <c r="D33" s="4">
        <f t="shared" si="1"/>
        <v>0.15270168666440043</v>
      </c>
      <c r="E33" s="5">
        <f t="shared" si="2"/>
        <v>41.83</v>
      </c>
      <c r="F33" t="str">
        <f t="shared" si="3"/>
        <v>&lt;Placemark&gt;&lt;name&gt;41.83,-175&lt;/name&gt;&lt;Point&gt;&lt;coordinates&gt;-175,41.83,0&lt;/coordinates&gt;&lt;/Point&gt;&lt;/Placemark&gt;</v>
      </c>
    </row>
    <row r="34" spans="1:6" x14ac:dyDescent="0.35">
      <c r="A34" s="1">
        <f>COUNTA(A$12:A33)-1</f>
        <v>21</v>
      </c>
      <c r="B34" s="3">
        <f t="shared" si="4"/>
        <v>-174.75</v>
      </c>
      <c r="C34" s="4">
        <f t="shared" si="0"/>
        <v>41.978437440790131</v>
      </c>
      <c r="D34" s="4">
        <f t="shared" si="1"/>
        <v>0.15143720278830841</v>
      </c>
      <c r="E34" s="5">
        <f t="shared" si="2"/>
        <v>41.98</v>
      </c>
      <c r="F34" t="str">
        <f t="shared" si="3"/>
        <v>&lt;Placemark&gt;&lt;name&gt;41.98,-174.75&lt;/name&gt;&lt;Point&gt;&lt;coordinates&gt;-174.75,41.98,0&lt;/coordinates&gt;&lt;/Point&gt;&lt;/Placemark&gt;</v>
      </c>
    </row>
    <row r="35" spans="1:6" x14ac:dyDescent="0.35">
      <c r="A35" s="1">
        <f>COUNTA(A$12:A34)-1</f>
        <v>22</v>
      </c>
      <c r="B35" s="3">
        <f t="shared" si="4"/>
        <v>-174.5</v>
      </c>
      <c r="C35" s="4">
        <f t="shared" si="0"/>
        <v>42.128617987774611</v>
      </c>
      <c r="D35" s="4">
        <f t="shared" si="1"/>
        <v>0.15018054698447969</v>
      </c>
      <c r="E35" s="5">
        <f t="shared" si="2"/>
        <v>42.13</v>
      </c>
      <c r="F35" t="str">
        <f t="shared" si="3"/>
        <v>&lt;Placemark&gt;&lt;name&gt;42.13,-174.5&lt;/name&gt;&lt;Point&gt;&lt;coordinates&gt;-174.5,42.13,0&lt;/coordinates&gt;&lt;/Point&gt;&lt;/Placemark&gt;</v>
      </c>
    </row>
    <row r="36" spans="1:6" x14ac:dyDescent="0.35">
      <c r="A36" s="1">
        <f>COUNTA(A$12:A35)-1</f>
        <v>23</v>
      </c>
      <c r="B36" s="3">
        <f t="shared" si="4"/>
        <v>-174.25</v>
      </c>
      <c r="C36" s="4">
        <f t="shared" si="0"/>
        <v>42.277549690940916</v>
      </c>
      <c r="D36" s="4">
        <f t="shared" si="1"/>
        <v>0.14893170316630489</v>
      </c>
      <c r="E36" s="5">
        <f t="shared" si="2"/>
        <v>42.28</v>
      </c>
      <c r="F36" t="str">
        <f t="shared" si="3"/>
        <v>&lt;Placemark&gt;&lt;name&gt;42.28,-174.25&lt;/name&gt;&lt;Point&gt;&lt;coordinates&gt;-174.25,42.28,0&lt;/coordinates&gt;&lt;/Point&gt;&lt;/Placemark&gt;</v>
      </c>
    </row>
    <row r="37" spans="1:6" x14ac:dyDescent="0.35">
      <c r="A37" s="1">
        <f>COUNTA(A$12:A36)-1</f>
        <v>24</v>
      </c>
      <c r="B37" s="3">
        <f t="shared" si="4"/>
        <v>-174</v>
      </c>
      <c r="C37" s="4">
        <f t="shared" si="0"/>
        <v>42.425240344480592</v>
      </c>
      <c r="D37" s="4">
        <f t="shared" si="1"/>
        <v>0.14769065353967648</v>
      </c>
      <c r="E37" s="5">
        <f t="shared" si="2"/>
        <v>42.43</v>
      </c>
      <c r="F37" t="str">
        <f t="shared" si="3"/>
        <v>&lt;Placemark&gt;&lt;name&gt;42.43,-174&lt;/name&gt;&lt;Point&gt;&lt;coordinates&gt;-174,42.43,0&lt;/coordinates&gt;&lt;/Point&gt;&lt;/Placemark&gt;</v>
      </c>
    </row>
    <row r="38" spans="1:6" x14ac:dyDescent="0.35">
      <c r="A38" s="1">
        <f>COUNTA(A$12:A37)-1</f>
        <v>25</v>
      </c>
      <c r="B38" s="3">
        <f t="shared" si="4"/>
        <v>-173.75</v>
      </c>
      <c r="C38" s="4">
        <f t="shared" si="0"/>
        <v>42.571697723144645</v>
      </c>
      <c r="D38" s="4">
        <f t="shared" si="1"/>
        <v>0.14645737866405284</v>
      </c>
      <c r="E38" s="5">
        <f t="shared" si="2"/>
        <v>42.57</v>
      </c>
      <c r="F38" t="str">
        <f t="shared" si="3"/>
        <v>&lt;Placemark&gt;&lt;name&gt;42.57,-173.75&lt;/name&gt;&lt;Point&gt;&lt;coordinates&gt;-173.75,42.57,0&lt;/coordinates&gt;&lt;/Point&gt;&lt;/Placemark&gt;</v>
      </c>
    </row>
    <row r="39" spans="1:6" x14ac:dyDescent="0.35">
      <c r="A39" s="1">
        <f>COUNTA(A$12:A38)-1</f>
        <v>26</v>
      </c>
      <c r="B39" s="3">
        <f t="shared" si="4"/>
        <v>-173.5</v>
      </c>
      <c r="C39" s="4">
        <f t="shared" si="0"/>
        <v>42.716929580656839</v>
      </c>
      <c r="D39" s="4">
        <f t="shared" si="1"/>
        <v>0.14523185751219359</v>
      </c>
      <c r="E39" s="5">
        <f t="shared" si="2"/>
        <v>42.72</v>
      </c>
      <c r="F39" t="str">
        <f t="shared" si="3"/>
        <v>&lt;Placemark&gt;&lt;name&gt;42.72,-173.5&lt;/name&gt;&lt;Point&gt;&lt;coordinates&gt;-173.5,42.72,0&lt;/coordinates&gt;&lt;/Point&gt;&lt;/Placemark&gt;</v>
      </c>
    </row>
    <row r="40" spans="1:6" x14ac:dyDescent="0.35">
      <c r="A40" s="1">
        <f>COUNTA(A$12:A39)-1</f>
        <v>27</v>
      </c>
      <c r="B40" s="3">
        <f t="shared" si="4"/>
        <v>-173.25</v>
      </c>
      <c r="C40" s="4">
        <f t="shared" si="0"/>
        <v>42.86094364818522</v>
      </c>
      <c r="D40" s="4">
        <f t="shared" si="1"/>
        <v>0.14401406752838142</v>
      </c>
      <c r="E40" s="5">
        <f t="shared" si="2"/>
        <v>42.86</v>
      </c>
      <c r="F40" t="str">
        <f t="shared" si="3"/>
        <v>&lt;Placemark&gt;&lt;name&gt;42.86,-173.25&lt;/name&gt;&lt;Point&gt;&lt;coordinates&gt;-173.25,42.86,0&lt;/coordinates&gt;&lt;/Point&gt;&lt;/Placemark&gt;</v>
      </c>
    </row>
    <row r="41" spans="1:6" x14ac:dyDescent="0.35">
      <c r="A41" s="1">
        <f>COUNTA(A$12:A40)-1</f>
        <v>28</v>
      </c>
      <c r="B41" s="3">
        <f t="shared" si="4"/>
        <v>-173</v>
      </c>
      <c r="C41" s="4">
        <f t="shared" si="0"/>
        <v>43.003747632870635</v>
      </c>
      <c r="D41" s="4">
        <f t="shared" si="1"/>
        <v>0.14280398468541478</v>
      </c>
      <c r="E41" s="5">
        <f t="shared" si="2"/>
        <v>43</v>
      </c>
      <c r="F41" t="str">
        <f t="shared" si="3"/>
        <v>&lt;Placemark&gt;&lt;name&gt;43,-173&lt;/name&gt;&lt;Point&gt;&lt;coordinates&gt;-173,43,0&lt;/coordinates&gt;&lt;/Point&gt;&lt;/Placemark&gt;</v>
      </c>
    </row>
    <row r="42" spans="1:6" x14ac:dyDescent="0.35">
      <c r="A42" s="1">
        <f>COUNTA(A$12:A41)-1</f>
        <v>29</v>
      </c>
      <c r="B42" s="3">
        <f t="shared" si="4"/>
        <v>-172.75</v>
      </c>
      <c r="C42" s="4">
        <f t="shared" si="0"/>
        <v>43.145349216410821</v>
      </c>
      <c r="D42" s="4">
        <f t="shared" si="1"/>
        <v>0.14160158354018648</v>
      </c>
      <c r="E42" s="5">
        <f t="shared" si="2"/>
        <v>43.15</v>
      </c>
      <c r="F42" t="str">
        <f t="shared" si="3"/>
        <v>&lt;Placemark&gt;&lt;name&gt;43.15,-172.75&lt;/name&gt;&lt;Point&gt;&lt;coordinates&gt;-172.75,43.15,0&lt;/coordinates&gt;&lt;/Point&gt;&lt;/Placemark&gt;</v>
      </c>
    </row>
    <row r="43" spans="1:6" x14ac:dyDescent="0.35">
      <c r="A43" s="1">
        <f>COUNTA(A$12:A42)-1</f>
        <v>30</v>
      </c>
      <c r="B43" s="3">
        <f t="shared" si="4"/>
        <v>-172.5</v>
      </c>
      <c r="C43" s="4">
        <f t="shared" si="0"/>
        <v>43.285756053698634</v>
      </c>
      <c r="D43" s="4">
        <f t="shared" si="1"/>
        <v>0.14040683728781289</v>
      </c>
      <c r="E43" s="5">
        <f t="shared" si="2"/>
        <v>43.29</v>
      </c>
      <c r="F43" t="str">
        <f t="shared" si="3"/>
        <v>&lt;Placemark&gt;&lt;name&gt;43.29,-172.5&lt;/name&gt;&lt;Point&gt;&lt;coordinates&gt;-172.5,43.29,0&lt;/coordinates&gt;&lt;/Point&gt;&lt;/Placemark&gt;</v>
      </c>
    </row>
    <row r="44" spans="1:6" x14ac:dyDescent="0.35">
      <c r="A44" s="1">
        <f>COUNTA(A$12:A43)-1</f>
        <v>31</v>
      </c>
      <c r="B44" s="3">
        <f t="shared" si="4"/>
        <v>-172.25</v>
      </c>
      <c r="C44" s="4">
        <f t="shared" si="0"/>
        <v>43.424975771513395</v>
      </c>
      <c r="D44" s="4">
        <f t="shared" si="1"/>
        <v>0.13921971781476117</v>
      </c>
      <c r="E44" s="5">
        <f t="shared" si="2"/>
        <v>43.42</v>
      </c>
      <c r="F44" t="str">
        <f t="shared" si="3"/>
        <v>&lt;Placemark&gt;&lt;name&gt;43.42,-172.25&lt;/name&gt;&lt;Point&gt;&lt;coordinates&gt;-172.25,43.42,0&lt;/coordinates&gt;&lt;/Point&gt;&lt;/Placemark&gt;</v>
      </c>
    </row>
    <row r="45" spans="1:6" x14ac:dyDescent="0.35">
      <c r="A45" s="1">
        <f>COUNTA(A$12:A44)-1</f>
        <v>32</v>
      </c>
      <c r="B45" s="3">
        <f t="shared" si="4"/>
        <v>-172</v>
      </c>
      <c r="C45" s="4">
        <f t="shared" si="0"/>
        <v>43.56301596726361</v>
      </c>
      <c r="D45" s="4">
        <f t="shared" si="1"/>
        <v>0.13804019575021442</v>
      </c>
      <c r="E45" s="5">
        <f t="shared" si="2"/>
        <v>43.56</v>
      </c>
      <c r="F45" t="str">
        <f t="shared" si="3"/>
        <v>&lt;Placemark&gt;&lt;name&gt;43.56,-172&lt;/name&gt;&lt;Point&gt;&lt;coordinates&gt;-172,43.56,0&lt;/coordinates&gt;&lt;/Point&gt;&lt;/Placemark&gt;</v>
      </c>
    </row>
    <row r="46" spans="1:6" x14ac:dyDescent="0.35">
      <c r="A46" s="1">
        <f>COUNTA(A$12:A45)-1</f>
        <v>33</v>
      </c>
      <c r="B46" s="3">
        <f t="shared" si="4"/>
        <v>-171.75</v>
      </c>
      <c r="C46" s="4">
        <f t="shared" si="0"/>
        <v>43.699884207780165</v>
      </c>
      <c r="D46" s="4">
        <f t="shared" si="1"/>
        <v>0.13686824051655577</v>
      </c>
      <c r="E46" s="5">
        <f t="shared" si="2"/>
        <v>43.7</v>
      </c>
      <c r="F46" t="str">
        <f t="shared" si="3"/>
        <v>&lt;Placemark&gt;&lt;name&gt;43.7,-171.75&lt;/name&gt;&lt;Point&gt;&lt;coordinates&gt;-171.75,43.7,0&lt;/coordinates&gt;&lt;/Point&gt;&lt;/Placemark&gt;</v>
      </c>
    </row>
    <row r="47" spans="1:6" x14ac:dyDescent="0.35">
      <c r="A47" s="1">
        <f>COUNTA(A$12:A46)-1</f>
        <v>34</v>
      </c>
      <c r="B47" s="3">
        <f t="shared" si="4"/>
        <v>-171.5</v>
      </c>
      <c r="C47" s="4">
        <f t="shared" si="0"/>
        <v>43.835588028158448</v>
      </c>
      <c r="D47" s="4">
        <f t="shared" si="1"/>
        <v>0.1357038203782821</v>
      </c>
      <c r="E47" s="5">
        <f t="shared" si="2"/>
        <v>43.84</v>
      </c>
      <c r="F47" t="str">
        <f t="shared" si="3"/>
        <v>&lt;Placemark&gt;&lt;name&gt;43.84,-171.5&lt;/name&gt;&lt;Point&gt;&lt;coordinates&gt;-171.5,43.84,0&lt;/coordinates&gt;&lt;/Point&gt;&lt;/Placemark&gt;</v>
      </c>
    </row>
    <row r="48" spans="1:6" x14ac:dyDescent="0.35">
      <c r="A48" s="1">
        <f>COUNTA(A$12:A47)-1</f>
        <v>35</v>
      </c>
      <c r="B48" s="3">
        <f t="shared" si="4"/>
        <v>-171.25</v>
      </c>
      <c r="C48" s="4">
        <f t="shared" si="0"/>
        <v>43.970134930648321</v>
      </c>
      <c r="D48" s="4">
        <f t="shared" si="1"/>
        <v>0.13454690248987333</v>
      </c>
      <c r="E48" s="5">
        <f t="shared" si="2"/>
        <v>43.97</v>
      </c>
      <c r="F48" t="str">
        <f t="shared" si="3"/>
        <v>&lt;Placemark&gt;&lt;name&gt;43.97,-171.25&lt;/name&gt;&lt;Point&gt;&lt;coordinates&gt;-171.25,43.97,0&lt;/coordinates&gt;&lt;/Point&gt;&lt;/Placemark&gt;</v>
      </c>
    </row>
    <row r="49" spans="1:6" x14ac:dyDescent="0.35">
      <c r="A49" s="1">
        <f>COUNTA(A$12:A48)-1</f>
        <v>36</v>
      </c>
      <c r="B49" s="3">
        <f t="shared" si="4"/>
        <v>-171</v>
      </c>
      <c r="C49" s="4">
        <f t="shared" si="0"/>
        <v>44.103532383590661</v>
      </c>
      <c r="D49" s="4">
        <f t="shared" si="1"/>
        <v>0.13339745294234007</v>
      </c>
      <c r="E49" s="5">
        <f t="shared" si="2"/>
        <v>44.1</v>
      </c>
      <c r="F49" t="str">
        <f t="shared" si="3"/>
        <v>&lt;Placemark&gt;&lt;name&gt;44.1,-171&lt;/name&gt;&lt;Point&gt;&lt;coordinates&gt;-171,44.1,0&lt;/coordinates&gt;&lt;/Point&gt;&lt;/Placemark&gt;</v>
      </c>
    </row>
    <row r="50" spans="1:6" x14ac:dyDescent="0.35">
      <c r="A50" s="1">
        <f>COUNTA(A$12:A49)-1</f>
        <v>37</v>
      </c>
      <c r="B50" s="3">
        <f t="shared" si="4"/>
        <v>-170.75</v>
      </c>
      <c r="C50" s="4">
        <f t="shared" si="0"/>
        <v>44.235787820399025</v>
      </c>
      <c r="D50" s="4">
        <f t="shared" si="1"/>
        <v>0.13225543680836438</v>
      </c>
      <c r="E50" s="5">
        <f t="shared" si="2"/>
        <v>44.24</v>
      </c>
      <c r="F50" t="str">
        <f t="shared" si="3"/>
        <v>&lt;Placemark&gt;&lt;name&gt;44.24,-170.75&lt;/name&gt;&lt;Point&gt;&lt;coordinates&gt;-170.75,44.24,0&lt;/coordinates&gt;&lt;/Point&gt;&lt;/Placemark&gt;</v>
      </c>
    </row>
    <row r="51" spans="1:6" x14ac:dyDescent="0.35">
      <c r="A51" s="1">
        <f>COUNTA(A$12:A50)-1</f>
        <v>38</v>
      </c>
      <c r="B51" s="3">
        <f t="shared" si="4"/>
        <v>-170.5</v>
      </c>
      <c r="C51" s="4">
        <f t="shared" si="0"/>
        <v>44.366908638585763</v>
      </c>
      <c r="D51" s="4">
        <f t="shared" si="1"/>
        <v>0.13112081818673715</v>
      </c>
      <c r="E51" s="5">
        <f t="shared" si="2"/>
        <v>44.37</v>
      </c>
      <c r="F51" t="str">
        <f t="shared" si="3"/>
        <v>&lt;Placemark&gt;&lt;name&gt;44.37,-170.5&lt;/name&gt;&lt;Point&gt;&lt;coordinates&gt;-170.5,44.37,0&lt;/coordinates&gt;&lt;/Point&gt;&lt;/Placemark&gt;</v>
      </c>
    </row>
    <row r="52" spans="1:6" x14ac:dyDescent="0.35">
      <c r="A52" s="1">
        <f>COUNTA(A$12:A51)-1</f>
        <v>39</v>
      </c>
      <c r="B52" s="3">
        <f t="shared" si="4"/>
        <v>-170.25</v>
      </c>
      <c r="C52" s="4">
        <f t="shared" si="0"/>
        <v>44.496902198830711</v>
      </c>
      <c r="D52" s="4">
        <f t="shared" si="1"/>
        <v>0.12999356024494801</v>
      </c>
      <c r="E52" s="5">
        <f t="shared" si="2"/>
        <v>44.5</v>
      </c>
      <c r="F52" t="str">
        <f t="shared" si="3"/>
        <v>&lt;Placemark&gt;&lt;name&gt;44.5,-170.25&lt;/name&gt;&lt;Point&gt;&lt;coordinates&gt;-170.25,44.5,0&lt;/coordinates&gt;&lt;/Point&gt;&lt;/Placemark&gt;</v>
      </c>
    </row>
    <row r="53" spans="1:6" x14ac:dyDescent="0.35">
      <c r="A53" s="1">
        <f>COUNTA(A$12:A52)-1</f>
        <v>40</v>
      </c>
      <c r="B53" s="3">
        <f t="shared" si="4"/>
        <v>-170</v>
      </c>
      <c r="C53" s="4">
        <f t="shared" si="0"/>
        <v>44.625775824091903</v>
      </c>
      <c r="D53" s="4">
        <f t="shared" si="1"/>
        <v>0.12887362526119261</v>
      </c>
      <c r="E53" s="5">
        <f t="shared" si="2"/>
        <v>44.63</v>
      </c>
      <c r="F53" t="str">
        <f t="shared" si="3"/>
        <v>&lt;Placemark&gt;&lt;name&gt;44.63,-170&lt;/name&gt;&lt;Point&gt;&lt;coordinates&gt;-170,44.63,0&lt;/coordinates&gt;&lt;/Point&gt;&lt;/Placemark&gt;</v>
      </c>
    </row>
    <row r="54" spans="1:6" x14ac:dyDescent="0.35">
      <c r="A54" s="1">
        <f>COUNTA(A$12:A53)-1</f>
        <v>41</v>
      </c>
      <c r="B54" s="3">
        <f t="shared" si="4"/>
        <v>-169.75</v>
      </c>
      <c r="C54" s="4">
        <f t="shared" si="0"/>
        <v>44.753536798756876</v>
      </c>
      <c r="D54" s="4">
        <f t="shared" si="1"/>
        <v>0.12776097466497305</v>
      </c>
      <c r="E54" s="5">
        <f t="shared" si="2"/>
        <v>44.75</v>
      </c>
      <c r="F54" t="str">
        <f t="shared" si="3"/>
        <v>&lt;Placemark&gt;&lt;name&gt;44.75,-169.75&lt;/name&gt;&lt;Point&gt;&lt;coordinates&gt;-169.75,44.75,0&lt;/coordinates&gt;&lt;/Point&gt;&lt;/Placemark&gt;</v>
      </c>
    </row>
    <row r="55" spans="1:6" x14ac:dyDescent="0.35">
      <c r="A55" s="1">
        <f>COUNTA(A$12:A54)-1</f>
        <v>42</v>
      </c>
      <c r="B55" s="3">
        <f t="shared" si="4"/>
        <v>-169.5</v>
      </c>
      <c r="C55" s="4">
        <f t="shared" si="0"/>
        <v>44.880192367833331</v>
      </c>
      <c r="D55" s="4">
        <f t="shared" si="1"/>
        <v>0.12665556907645481</v>
      </c>
      <c r="E55" s="5">
        <f t="shared" si="2"/>
        <v>44.88</v>
      </c>
      <c r="F55" t="str">
        <f t="shared" si="3"/>
        <v>&lt;Placemark&gt;&lt;name&gt;44.88,-169.5&lt;/name&gt;&lt;Point&gt;&lt;coordinates&gt;-169.5,44.88,0&lt;/coordinates&gt;&lt;/Point&gt;&lt;/Placemark&gt;</v>
      </c>
    </row>
    <row r="56" spans="1:6" x14ac:dyDescent="0.35">
      <c r="A56" s="1">
        <f>COUNTA(A$12:A55)-1</f>
        <v>43</v>
      </c>
      <c r="B56" s="3">
        <f t="shared" si="4"/>
        <v>-169.25</v>
      </c>
      <c r="C56" s="4">
        <f t="shared" si="0"/>
        <v>45.005749736178359</v>
      </c>
      <c r="D56" s="4">
        <f t="shared" si="1"/>
        <v>0.12555736834502795</v>
      </c>
      <c r="E56" s="5">
        <f t="shared" si="2"/>
        <v>45.01</v>
      </c>
      <c r="F56" t="str">
        <f t="shared" si="3"/>
        <v>&lt;Placemark&gt;&lt;name&gt;45.01,-169.25&lt;/name&gt;&lt;Point&gt;&lt;coordinates&gt;-169.25,45.01,0&lt;/coordinates&gt;&lt;/Point&gt;&lt;/Placemark&gt;</v>
      </c>
    </row>
    <row r="57" spans="1:6" x14ac:dyDescent="0.35">
      <c r="A57" s="1">
        <f>COUNTA(A$12:A56)-1</f>
        <v>44</v>
      </c>
      <c r="B57" s="3">
        <f t="shared" si="4"/>
        <v>-169</v>
      </c>
      <c r="C57" s="4">
        <f t="shared" si="0"/>
        <v>45.130216067764977</v>
      </c>
      <c r="D57" s="4">
        <f t="shared" si="1"/>
        <v>0.12446633158661768</v>
      </c>
      <c r="E57" s="5">
        <f t="shared" si="2"/>
        <v>45.13</v>
      </c>
      <c r="F57" t="str">
        <f t="shared" si="3"/>
        <v>&lt;Placemark&gt;&lt;name&gt;45.13,-169&lt;/name&gt;&lt;Point&gt;&lt;coordinates&gt;-169,45.13,0&lt;/coordinates&gt;&lt;/Point&gt;&lt;/Placemark&gt;</v>
      </c>
    </row>
    <row r="58" spans="1:6" x14ac:dyDescent="0.35">
      <c r="A58" s="1">
        <f>COUNTA(A$12:A57)-1</f>
        <v>45</v>
      </c>
      <c r="B58" s="3">
        <f t="shared" si="4"/>
        <v>-168.75</v>
      </c>
      <c r="C58" s="4">
        <f t="shared" si="0"/>
        <v>45.253598484984735</v>
      </c>
      <c r="D58" s="4">
        <f t="shared" si="1"/>
        <v>0.12338241721975862</v>
      </c>
      <c r="E58" s="5">
        <f t="shared" si="2"/>
        <v>45.25</v>
      </c>
      <c r="F58" t="str">
        <f t="shared" si="3"/>
        <v>&lt;Placemark&gt;&lt;name&gt;45.25,-168.75&lt;/name&gt;&lt;Point&gt;&lt;coordinates&gt;-168.75,45.25,0&lt;/coordinates&gt;&lt;/Point&gt;&lt;/Placemark&gt;</v>
      </c>
    </row>
    <row r="59" spans="1:6" x14ac:dyDescent="0.35">
      <c r="A59" s="1">
        <f>COUNTA(A$12:A58)-1</f>
        <v>46</v>
      </c>
      <c r="B59" s="3">
        <f t="shared" si="4"/>
        <v>-168.5</v>
      </c>
      <c r="C59" s="4">
        <f t="shared" si="0"/>
        <v>45.375904067985843</v>
      </c>
      <c r="D59" s="4">
        <f t="shared" si="1"/>
        <v>0.12230558300110772</v>
      </c>
      <c r="E59" s="5">
        <f t="shared" si="2"/>
        <v>45.38</v>
      </c>
      <c r="F59" t="str">
        <f t="shared" si="3"/>
        <v>&lt;Placemark&gt;&lt;name&gt;45.38,-168.5&lt;/name&gt;&lt;Point&gt;&lt;coordinates&gt;-168.5,45.38,0&lt;/coordinates&gt;&lt;/Point&gt;&lt;/Placemark&gt;</v>
      </c>
    </row>
    <row r="60" spans="1:6" x14ac:dyDescent="0.35">
      <c r="A60" s="1">
        <f>COUNTA(A$12:A59)-1</f>
        <v>47</v>
      </c>
      <c r="B60" s="3">
        <f t="shared" si="4"/>
        <v>-168.25</v>
      </c>
      <c r="C60" s="4">
        <f t="shared" si="0"/>
        <v>45.497139854045145</v>
      </c>
      <c r="D60" s="4">
        <f t="shared" si="1"/>
        <v>0.12123578605930163</v>
      </c>
      <c r="E60" s="5">
        <f t="shared" si="2"/>
        <v>45.5</v>
      </c>
      <c r="F60" t="str">
        <f t="shared" si="3"/>
        <v>&lt;Placemark&gt;&lt;name&gt;45.5,-168.25&lt;/name&gt;&lt;Point&gt;&lt;coordinates&gt;-168.25,45.5,0&lt;/coordinates&gt;&lt;/Point&gt;&lt;/Placemark&gt;</v>
      </c>
    </row>
    <row r="61" spans="1:6" x14ac:dyDescent="0.35">
      <c r="A61" s="1">
        <f>COUNTA(A$12:A60)-1</f>
        <v>48</v>
      </c>
      <c r="B61" s="3">
        <f t="shared" si="4"/>
        <v>-168</v>
      </c>
      <c r="C61" s="4">
        <f t="shared" si="0"/>
        <v>45.617312836973525</v>
      </c>
      <c r="D61" s="4">
        <f t="shared" si="1"/>
        <v>0.12017298292838063</v>
      </c>
      <c r="E61" s="5">
        <f t="shared" si="2"/>
        <v>45.62</v>
      </c>
      <c r="F61" t="str">
        <f t="shared" si="3"/>
        <v>&lt;Placemark&gt;&lt;name&gt;45.62,-168&lt;/name&gt;&lt;Point&gt;&lt;coordinates&gt;-168,45.62,0&lt;/coordinates&gt;&lt;/Point&gt;&lt;/Placemark&gt;</v>
      </c>
    </row>
    <row r="62" spans="1:6" x14ac:dyDescent="0.35">
      <c r="A62" s="1">
        <f>COUNTA(A$12:A61)-1</f>
        <v>49</v>
      </c>
      <c r="B62" s="3">
        <f t="shared" si="4"/>
        <v>-167.75</v>
      </c>
      <c r="C62" s="4">
        <f t="shared" si="0"/>
        <v>45.736429966553452</v>
      </c>
      <c r="D62" s="4">
        <f t="shared" si="1"/>
        <v>0.11911712957992648</v>
      </c>
      <c r="E62" s="5">
        <f t="shared" si="2"/>
        <v>45.74</v>
      </c>
      <c r="F62" t="str">
        <f t="shared" si="3"/>
        <v>&lt;Placemark&gt;&lt;name&gt;45.74,-167.75&lt;/name&gt;&lt;Point&gt;&lt;coordinates&gt;-167.75,45.74,0&lt;/coordinates&gt;&lt;/Point&gt;&lt;/Placemark&gt;</v>
      </c>
    </row>
    <row r="63" spans="1:6" x14ac:dyDescent="0.35">
      <c r="A63" s="1">
        <f>COUNTA(A$12:A62)-1</f>
        <v>50</v>
      </c>
      <c r="B63" s="3">
        <f t="shared" si="4"/>
        <v>-167.5</v>
      </c>
      <c r="C63" s="4">
        <f t="shared" ref="C63:C85" si="5">DEGREES(ATAN($B$7 * SIN(RADIANS(B63)) + $B$8 * COS(RADIANS(B63))))</f>
        <v>45.854498148007657</v>
      </c>
      <c r="D63" s="4">
        <f t="shared" ref="D63:D85" si="6">IF(C62="Lat","",C63-C62)</f>
        <v>0.1180681814542055</v>
      </c>
      <c r="E63" s="5">
        <f t="shared" ref="E63:E85" si="7">ROUND(C63,2)</f>
        <v>45.85</v>
      </c>
      <c r="F63" t="str">
        <f t="shared" ref="F63:F85" si="8">"&lt;Placemark&gt;&lt;name&gt;"&amp;E63&amp;","&amp;B63&amp;"&lt;/name&gt;&lt;Point&gt;&lt;coordinates&gt;"&amp;B63&amp;","&amp;E63&amp;",0&lt;/coordinates&gt;&lt;/Point&gt;&lt;/Placemark&gt;"</f>
        <v>&lt;Placemark&gt;&lt;name&gt;45.85,-167.5&lt;/name&gt;&lt;Point&gt;&lt;coordinates&gt;-167.5,45.85,0&lt;/coordinates&gt;&lt;/Point&gt;&lt;/Placemark&gt;</v>
      </c>
    </row>
    <row r="64" spans="1:6" x14ac:dyDescent="0.35">
      <c r="A64" s="1">
        <f>COUNTA(A$12:A63)-1</f>
        <v>51</v>
      </c>
      <c r="B64" s="3">
        <f t="shared" si="4"/>
        <v>-167.25</v>
      </c>
      <c r="C64" s="4">
        <f t="shared" si="5"/>
        <v>45.971524241498301</v>
      </c>
      <c r="D64" s="4">
        <f t="shared" si="6"/>
        <v>0.11702609349064375</v>
      </c>
      <c r="E64" s="5">
        <f t="shared" si="7"/>
        <v>45.97</v>
      </c>
      <c r="F64" t="str">
        <f t="shared" si="8"/>
        <v>&lt;Placemark&gt;&lt;name&gt;45.97,-167.25&lt;/name&gt;&lt;Point&gt;&lt;coordinates&gt;-167.25,45.97,0&lt;/coordinates&gt;&lt;/Point&gt;&lt;/Placemark&gt;</v>
      </c>
    </row>
    <row r="65" spans="1:6" x14ac:dyDescent="0.35">
      <c r="A65" s="1">
        <f>COUNTA(A$12:A64)-1</f>
        <v>52</v>
      </c>
      <c r="B65" s="3">
        <f t="shared" si="4"/>
        <v>-167</v>
      </c>
      <c r="C65" s="4">
        <f t="shared" si="5"/>
        <v>46.087515061655274</v>
      </c>
      <c r="D65" s="4">
        <f t="shared" si="6"/>
        <v>0.11599082015697348</v>
      </c>
      <c r="E65" s="5">
        <f t="shared" si="7"/>
        <v>46.09</v>
      </c>
      <c r="F65" t="str">
        <f t="shared" si="8"/>
        <v>&lt;Placemark&gt;&lt;name&gt;46.09,-167&lt;/name&gt;&lt;Point&gt;&lt;coordinates&gt;-167,46.09,0&lt;/coordinates&gt;&lt;/Point&gt;&lt;/Placemark&gt;</v>
      </c>
    </row>
    <row r="66" spans="1:6" x14ac:dyDescent="0.35">
      <c r="A66" s="1">
        <f>COUNTA(A$12:A65)-1</f>
        <v>53</v>
      </c>
      <c r="B66" s="3">
        <f t="shared" si="4"/>
        <v>-166.75</v>
      </c>
      <c r="C66" s="4">
        <f t="shared" si="5"/>
        <v>46.202477377133157</v>
      </c>
      <c r="D66" s="4">
        <f t="shared" si="6"/>
        <v>0.11496231547788227</v>
      </c>
      <c r="E66" s="5">
        <f t="shared" si="7"/>
        <v>46.2</v>
      </c>
      <c r="F66" t="str">
        <f t="shared" si="8"/>
        <v>&lt;Placemark&gt;&lt;name&gt;46.2,-166.75&lt;/name&gt;&lt;Point&gt;&lt;coordinates&gt;-166.75,46.2,0&lt;/coordinates&gt;&lt;/Point&gt;&lt;/Placemark&gt;</v>
      </c>
    </row>
    <row r="67" spans="1:6" x14ac:dyDescent="0.35">
      <c r="A67" s="1">
        <f>COUNTA(A$12:A66)-1</f>
        <v>54</v>
      </c>
      <c r="B67" s="3">
        <f t="shared" si="4"/>
        <v>-166.5</v>
      </c>
      <c r="C67" s="4">
        <f t="shared" si="5"/>
        <v>46.316417910195732</v>
      </c>
      <c r="D67" s="4">
        <f t="shared" si="6"/>
        <v>0.1139405330625749</v>
      </c>
      <c r="E67" s="5">
        <f t="shared" si="7"/>
        <v>46.32</v>
      </c>
      <c r="F67" t="str">
        <f t="shared" si="8"/>
        <v>&lt;Placemark&gt;&lt;name&gt;46.32,-166.5&lt;/name&gt;&lt;Point&gt;&lt;coordinates&gt;-166.5,46.32,0&lt;/coordinates&gt;&lt;/Point&gt;&lt;/Placemark&gt;</v>
      </c>
    </row>
    <row r="68" spans="1:6" x14ac:dyDescent="0.35">
      <c r="A68" s="1">
        <f>COUNTA(A$12:A67)-1</f>
        <v>55</v>
      </c>
      <c r="B68" s="3">
        <f t="shared" si="4"/>
        <v>-166.25</v>
      </c>
      <c r="C68" s="4">
        <f t="shared" si="5"/>
        <v>46.429343336327044</v>
      </c>
      <c r="D68" s="4">
        <f t="shared" si="6"/>
        <v>0.11292542613131218</v>
      </c>
      <c r="E68" s="5">
        <f t="shared" si="7"/>
        <v>46.43</v>
      </c>
      <c r="F68" t="str">
        <f t="shared" si="8"/>
        <v>&lt;Placemark&gt;&lt;name&gt;46.43,-166.25&lt;/name&gt;&lt;Point&gt;&lt;coordinates&gt;-166.25,46.43,0&lt;/coordinates&gt;&lt;/Point&gt;&lt;/Placemark&gt;</v>
      </c>
    </row>
    <row r="69" spans="1:6" x14ac:dyDescent="0.35">
      <c r="A69" s="1">
        <f>COUNTA(A$12:A68)-1</f>
        <v>56</v>
      </c>
      <c r="B69" s="3">
        <f t="shared" si="4"/>
        <v>-166</v>
      </c>
      <c r="C69" s="4">
        <f t="shared" si="5"/>
        <v>46.541260283868617</v>
      </c>
      <c r="D69" s="4">
        <f t="shared" si="6"/>
        <v>0.11191694754157311</v>
      </c>
      <c r="E69" s="5">
        <f t="shared" si="7"/>
        <v>46.54</v>
      </c>
      <c r="F69" t="str">
        <f t="shared" si="8"/>
        <v>&lt;Placemark&gt;&lt;name&gt;46.54,-166&lt;/name&gt;&lt;Point&gt;&lt;coordinates&gt;-166,46.54,0&lt;/coordinates&gt;&lt;/Point&gt;&lt;/Placemark&gt;</v>
      </c>
    </row>
    <row r="70" spans="1:6" x14ac:dyDescent="0.35">
      <c r="A70" s="1">
        <f>COUNTA(A$12:A69)-1</f>
        <v>57</v>
      </c>
      <c r="B70" s="3">
        <f t="shared" si="4"/>
        <v>-165.75</v>
      </c>
      <c r="C70" s="4">
        <f t="shared" si="5"/>
        <v>46.652175333681427</v>
      </c>
      <c r="D70" s="4">
        <f t="shared" si="6"/>
        <v>0.1109150498128102</v>
      </c>
      <c r="E70" s="5">
        <f t="shared" si="7"/>
        <v>46.65</v>
      </c>
      <c r="F70" t="str">
        <f t="shared" si="8"/>
        <v>&lt;Placemark&gt;&lt;name&gt;46.65,-165.75&lt;/name&gt;&lt;Point&gt;&lt;coordinates&gt;-165.75,46.65,0&lt;/coordinates&gt;&lt;/Point&gt;&lt;/Placemark&gt;</v>
      </c>
    </row>
    <row r="71" spans="1:6" x14ac:dyDescent="0.35">
      <c r="A71" s="1">
        <f>COUNTA(A$12:A70)-1</f>
        <v>58</v>
      </c>
      <c r="B71" s="3">
        <f t="shared" si="4"/>
        <v>-165.5</v>
      </c>
      <c r="C71" s="4">
        <f t="shared" si="5"/>
        <v>46.762095018832298</v>
      </c>
      <c r="D71" s="4">
        <f t="shared" si="6"/>
        <v>0.10991968515087081</v>
      </c>
      <c r="E71" s="5">
        <f t="shared" si="7"/>
        <v>46.76</v>
      </c>
      <c r="F71" t="str">
        <f t="shared" si="8"/>
        <v>&lt;Placemark&gt;&lt;name&gt;46.76,-165.5&lt;/name&gt;&lt;Point&gt;&lt;coordinates&gt;-165.5,46.76,0&lt;/coordinates&gt;&lt;/Point&gt;&lt;/Placemark&gt;</v>
      </c>
    </row>
    <row r="72" spans="1:6" x14ac:dyDescent="0.35">
      <c r="A72" s="1">
        <f>COUNTA(A$12:A71)-1</f>
        <v>59</v>
      </c>
      <c r="B72" s="3">
        <f t="shared" si="4"/>
        <v>-165.25</v>
      </c>
      <c r="C72" s="4">
        <f t="shared" si="5"/>
        <v>46.871025824303729</v>
      </c>
      <c r="D72" s="4">
        <f t="shared" si="6"/>
        <v>0.10893080547143086</v>
      </c>
      <c r="E72" s="5">
        <f t="shared" si="7"/>
        <v>46.87</v>
      </c>
      <c r="F72" t="str">
        <f t="shared" si="8"/>
        <v>&lt;Placemark&gt;&lt;name&gt;46.87,-165.25&lt;/name&gt;&lt;Point&gt;&lt;coordinates&gt;-165.25,46.87,0&lt;/coordinates&gt;&lt;/Point&gt;&lt;/Placemark&gt;</v>
      </c>
    </row>
    <row r="73" spans="1:6" x14ac:dyDescent="0.35">
      <c r="A73" s="1">
        <f>COUNTA(A$12:A72)-1</f>
        <v>60</v>
      </c>
      <c r="B73" s="3">
        <f t="shared" si="4"/>
        <v>-165</v>
      </c>
      <c r="C73" s="4">
        <f t="shared" si="5"/>
        <v>46.978974186726283</v>
      </c>
      <c r="D73" s="4">
        <f t="shared" si="6"/>
        <v>0.10794836242255457</v>
      </c>
      <c r="E73" s="5">
        <f t="shared" si="7"/>
        <v>46.98</v>
      </c>
      <c r="F73" t="str">
        <f t="shared" si="8"/>
        <v>&lt;Placemark&gt;&lt;name&gt;46.98,-165&lt;/name&gt;&lt;Point&gt;&lt;coordinates&gt;-165,46.98,0&lt;/coordinates&gt;&lt;/Point&gt;&lt;/Placemark&gt;</v>
      </c>
    </row>
    <row r="74" spans="1:6" x14ac:dyDescent="0.35">
      <c r="A74" s="1">
        <f>COUNTA(A$12:A73)-1</f>
        <v>61</v>
      </c>
      <c r="B74" s="3">
        <f t="shared" si="4"/>
        <v>-164.75</v>
      </c>
      <c r="C74" s="4">
        <f t="shared" si="5"/>
        <v>47.085946494132962</v>
      </c>
      <c r="D74" s="4">
        <f t="shared" si="6"/>
        <v>0.10697230740667862</v>
      </c>
      <c r="E74" s="5">
        <f t="shared" si="7"/>
        <v>47.09</v>
      </c>
      <c r="F74" t="str">
        <f t="shared" si="8"/>
        <v>&lt;Placemark&gt;&lt;name&gt;47.09,-164.75&lt;/name&gt;&lt;Point&gt;&lt;coordinates&gt;-164.75,47.09,0&lt;/coordinates&gt;&lt;/Point&gt;&lt;/Placemark&gt;</v>
      </c>
    </row>
    <row r="75" spans="1:6" x14ac:dyDescent="0.35">
      <c r="A75" s="1">
        <f>COUNTA(A$12:A74)-1</f>
        <v>62</v>
      </c>
      <c r="B75" s="3">
        <f t="shared" si="4"/>
        <v>-164.5</v>
      </c>
      <c r="C75" s="4">
        <f t="shared" si="5"/>
        <v>47.191949085734898</v>
      </c>
      <c r="D75" s="4">
        <f t="shared" si="6"/>
        <v>0.10600259160193559</v>
      </c>
      <c r="E75" s="5">
        <f t="shared" si="7"/>
        <v>47.19</v>
      </c>
      <c r="F75" t="str">
        <f t="shared" si="8"/>
        <v>&lt;Placemark&gt;&lt;name&gt;47.19,-164.5&lt;/name&gt;&lt;Point&gt;&lt;coordinates&gt;-164.5,47.19,0&lt;/coordinates&gt;&lt;/Point&gt;&lt;/Placemark&gt;</v>
      </c>
    </row>
    <row r="76" spans="1:6" x14ac:dyDescent="0.35">
      <c r="A76" s="1">
        <f>COUNTA(A$12:A75)-1</f>
        <v>63</v>
      </c>
      <c r="B76" s="3">
        <f t="shared" si="4"/>
        <v>-164.25</v>
      </c>
      <c r="C76" s="4">
        <f t="shared" si="5"/>
        <v>47.296988251717259</v>
      </c>
      <c r="D76" s="4">
        <f t="shared" si="6"/>
        <v>0.10503916598236174</v>
      </c>
      <c r="E76" s="5">
        <f t="shared" si="7"/>
        <v>47.3</v>
      </c>
      <c r="F76" t="str">
        <f t="shared" si="8"/>
        <v>&lt;Placemark&gt;&lt;name&gt;47.3,-164.25&lt;/name&gt;&lt;Point&gt;&lt;coordinates&gt;-164.25,47.3,0&lt;/coordinates&gt;&lt;/Point&gt;&lt;/Placemark&gt;</v>
      </c>
    </row>
    <row r="77" spans="1:6" x14ac:dyDescent="0.35">
      <c r="A77" s="1">
        <f>COUNTA(A$12:A76)-1</f>
        <v>64</v>
      </c>
      <c r="B77" s="3">
        <f t="shared" si="4"/>
        <v>-164</v>
      </c>
      <c r="C77" s="4">
        <f t="shared" si="5"/>
        <v>47.401070233055165</v>
      </c>
      <c r="D77" s="4">
        <f t="shared" si="6"/>
        <v>0.10408198133790592</v>
      </c>
      <c r="E77" s="5">
        <f t="shared" si="7"/>
        <v>47.4</v>
      </c>
      <c r="F77" t="str">
        <f t="shared" si="8"/>
        <v>&lt;Placemark&gt;&lt;name&gt;47.4,-164&lt;/name&gt;&lt;Point&gt;&lt;coordinates&gt;-164,47.4,0&lt;/coordinates&gt;&lt;/Point&gt;&lt;/Placemark&gt;</v>
      </c>
    </row>
    <row r="78" spans="1:6" x14ac:dyDescent="0.35">
      <c r="A78" s="1">
        <f>COUNTA(A$12:A77)-1</f>
        <v>65</v>
      </c>
      <c r="B78" s="3">
        <f t="shared" si="4"/>
        <v>-163.75</v>
      </c>
      <c r="C78" s="4">
        <f t="shared" si="5"/>
        <v>47.504201221348517</v>
      </c>
      <c r="D78" s="4">
        <f t="shared" si="6"/>
        <v>0.10313098829335132</v>
      </c>
      <c r="E78" s="5">
        <f t="shared" si="7"/>
        <v>47.5</v>
      </c>
      <c r="F78" t="str">
        <f t="shared" si="8"/>
        <v>&lt;Placemark&gt;&lt;name&gt;47.5,-163.75&lt;/name&gt;&lt;Point&gt;&lt;coordinates&gt;-163.75,47.5,0&lt;/coordinates&gt;&lt;/Point&gt;&lt;/Placemark&gt;</v>
      </c>
    </row>
    <row r="79" spans="1:6" x14ac:dyDescent="0.35">
      <c r="A79" s="1">
        <f>COUNTA(A$12:A78)-1</f>
        <v>66</v>
      </c>
      <c r="B79" s="3">
        <f t="shared" ref="B79:B85" si="9">IF(B78&gt;=180,ROUND(B78,2)+0.25-360,ROUND(B78,2)+0.25)</f>
        <v>-163.5</v>
      </c>
      <c r="C79" s="4">
        <f t="shared" si="5"/>
        <v>47.606387358675356</v>
      </c>
      <c r="D79" s="4">
        <f t="shared" si="6"/>
        <v>0.10218613732683934</v>
      </c>
      <c r="E79" s="5">
        <f t="shared" si="7"/>
        <v>47.61</v>
      </c>
      <c r="F79" t="str">
        <f t="shared" si="8"/>
        <v>&lt;Placemark&gt;&lt;name&gt;47.61,-163.5&lt;/name&gt;&lt;Point&gt;&lt;coordinates&gt;-163.5,47.61,0&lt;/coordinates&gt;&lt;/Point&gt;&lt;/Placemark&gt;</v>
      </c>
    </row>
    <row r="80" spans="1:6" x14ac:dyDescent="0.35">
      <c r="A80" s="1">
        <f>COUNTA(A$12:A79)-1</f>
        <v>67</v>
      </c>
      <c r="B80" s="3">
        <f t="shared" si="9"/>
        <v>-163.25</v>
      </c>
      <c r="C80" s="4">
        <f t="shared" si="5"/>
        <v>47.707634737462996</v>
      </c>
      <c r="D80" s="4">
        <f t="shared" si="6"/>
        <v>0.10124737878764023</v>
      </c>
      <c r="E80" s="5">
        <f t="shared" si="7"/>
        <v>47.71</v>
      </c>
      <c r="F80" t="str">
        <f t="shared" si="8"/>
        <v>&lt;Placemark&gt;&lt;name&gt;47.71,-163.25&lt;/name&gt;&lt;Point&gt;&lt;coordinates&gt;-163.25,47.71,0&lt;/coordinates&gt;&lt;/Point&gt;&lt;/Placemark&gt;</v>
      </c>
    </row>
    <row r="81" spans="1:6" x14ac:dyDescent="0.35">
      <c r="A81" s="1">
        <f>COUNTA(A$12:A80)-1</f>
        <v>68</v>
      </c>
      <c r="B81" s="3">
        <f t="shared" si="9"/>
        <v>-163</v>
      </c>
      <c r="C81" s="4">
        <f t="shared" si="5"/>
        <v>47.807949400376181</v>
      </c>
      <c r="D81" s="4">
        <f t="shared" si="6"/>
        <v>0.1003146629131848</v>
      </c>
      <c r="E81" s="5">
        <f t="shared" si="7"/>
        <v>47.81</v>
      </c>
      <c r="F81" t="str">
        <f t="shared" si="8"/>
        <v>&lt;Placemark&gt;&lt;name&gt;47.81,-163&lt;/name&gt;&lt;Point&gt;&lt;coordinates&gt;-163,47.81,0&lt;/coordinates&gt;&lt;/Point&gt;&lt;/Placemark&gt;</v>
      </c>
    </row>
    <row r="82" spans="1:6" x14ac:dyDescent="0.35">
      <c r="A82" s="1">
        <f>COUNTA(A$12:A81)-1</f>
        <v>69</v>
      </c>
      <c r="B82" s="3">
        <f t="shared" si="9"/>
        <v>-162.75</v>
      </c>
      <c r="C82" s="4">
        <f t="shared" si="5"/>
        <v>47.907337340221972</v>
      </c>
      <c r="D82" s="4">
        <f t="shared" si="6"/>
        <v>9.938793984579064E-2</v>
      </c>
      <c r="E82" s="5">
        <f t="shared" si="7"/>
        <v>47.91</v>
      </c>
      <c r="F82" t="str">
        <f t="shared" si="8"/>
        <v>&lt;Placemark&gt;&lt;name&gt;47.91,-162.75&lt;/name&gt;&lt;Point&gt;&lt;coordinates&gt;-162.75,47.91,0&lt;/coordinates&gt;&lt;/Point&gt;&lt;/Placemark&gt;</v>
      </c>
    </row>
    <row r="83" spans="1:6" x14ac:dyDescent="0.35">
      <c r="A83" s="1">
        <f>COUNTA(A$12:A82)-1</f>
        <v>70</v>
      </c>
      <c r="B83" s="3">
        <f t="shared" si="9"/>
        <v>-162.5</v>
      </c>
      <c r="C83" s="4">
        <f t="shared" si="5"/>
        <v>48.005804499870287</v>
      </c>
      <c r="D83" s="4">
        <f t="shared" si="6"/>
        <v>9.8467159648315317E-2</v>
      </c>
      <c r="E83" s="5">
        <f t="shared" si="7"/>
        <v>48.01</v>
      </c>
      <c r="F83" t="str">
        <f t="shared" si="8"/>
        <v>&lt;Placemark&gt;&lt;name&gt;48.01,-162.5&lt;/name&gt;&lt;Point&gt;&lt;coordinates&gt;-162.5,48.01,0&lt;/coordinates&gt;&lt;/Point&gt;&lt;/Placemark&gt;</v>
      </c>
    </row>
    <row r="84" spans="1:6" x14ac:dyDescent="0.35">
      <c r="A84" s="1">
        <f>COUNTA(A$12:A83)-1</f>
        <v>71</v>
      </c>
      <c r="B84" s="3">
        <f t="shared" si="9"/>
        <v>-162.25</v>
      </c>
      <c r="C84" s="4">
        <f t="shared" si="5"/>
        <v>48.103356772190061</v>
      </c>
      <c r="D84" s="4">
        <f t="shared" si="6"/>
        <v>9.7552272319774147E-2</v>
      </c>
      <c r="E84" s="5">
        <f t="shared" si="7"/>
        <v>48.1</v>
      </c>
      <c r="F84" t="str">
        <f t="shared" si="8"/>
        <v>&lt;Placemark&gt;&lt;name&gt;48.1,-162.25&lt;/name&gt;&lt;Point&gt;&lt;coordinates&gt;-162.25,48.1,0&lt;/coordinates&gt;&lt;/Point&gt;&lt;/Placemark&gt;</v>
      </c>
    </row>
    <row r="85" spans="1:6" x14ac:dyDescent="0.35">
      <c r="A85" s="1">
        <f>COUNTA(A$12:A84)-1</f>
        <v>72</v>
      </c>
      <c r="B85" s="3">
        <f t="shared" si="9"/>
        <v>-162</v>
      </c>
      <c r="C85" s="4">
        <f t="shared" si="5"/>
        <v>48.2</v>
      </c>
      <c r="D85" s="4">
        <f t="shared" si="6"/>
        <v>9.6643227809941834E-2</v>
      </c>
      <c r="E85" s="5">
        <f t="shared" si="7"/>
        <v>48.2</v>
      </c>
      <c r="F85" t="str">
        <f t="shared" si="8"/>
        <v>&lt;Placemark&gt;&lt;name&gt;48.2,-162&lt;/name&gt;&lt;Point&gt;&lt;coordinates&gt;-162,48.2,0&lt;/coordinates&gt;&lt;/Point&gt;&lt;/Placemark&gt;</v>
      </c>
    </row>
  </sheetData>
  <pageMargins left="0.7" right="0.7" top="0.75" bottom="0.75" header="0.3" footer="0.3"/>
  <pageSetup paperSize="9" orientation="portrait" r:id="rId1"/>
  <headerFooter>
    <oddFooter>&amp;C_x000D_&amp;1#&amp;"Aptos"&amp;9&amp;K00AEFF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AF2C-7600-4809-9768-2339F5BBD93D}">
  <dimension ref="A1:F164"/>
  <sheetViews>
    <sheetView workbookViewId="0"/>
  </sheetViews>
  <sheetFormatPr defaultRowHeight="14.5" x14ac:dyDescent="0.35"/>
  <cols>
    <col min="1" max="1" width="11.54296875" style="1" bestFit="1" customWidth="1"/>
    <col min="2" max="2" width="18.08984375" style="1" bestFit="1" customWidth="1"/>
    <col min="3" max="3" width="8.453125" style="1" bestFit="1" customWidth="1"/>
    <col min="4" max="4" width="8.08984375" style="1" bestFit="1" customWidth="1"/>
    <col min="5" max="5" width="10.453125" style="1" bestFit="1" customWidth="1"/>
  </cols>
  <sheetData>
    <row r="1" spans="1:6" s="9" customFormat="1" x14ac:dyDescent="0.35">
      <c r="A1" s="9" t="s">
        <v>15</v>
      </c>
      <c r="B1" s="9" t="s">
        <v>39</v>
      </c>
    </row>
    <row r="2" spans="1:6" x14ac:dyDescent="0.35">
      <c r="A2" s="9" t="s">
        <v>0</v>
      </c>
      <c r="B2" s="1">
        <v>48.2</v>
      </c>
    </row>
    <row r="3" spans="1:6" x14ac:dyDescent="0.35">
      <c r="A3" s="9" t="s">
        <v>1</v>
      </c>
      <c r="B3" s="1">
        <v>-162</v>
      </c>
    </row>
    <row r="4" spans="1:6" x14ac:dyDescent="0.35">
      <c r="A4" s="9" t="s">
        <v>2</v>
      </c>
      <c r="B4" s="1">
        <v>19.5</v>
      </c>
    </row>
    <row r="5" spans="1:6" x14ac:dyDescent="0.35">
      <c r="A5" s="9" t="s">
        <v>3</v>
      </c>
      <c r="B5" s="1">
        <v>-124.25</v>
      </c>
    </row>
    <row r="6" spans="1:6" x14ac:dyDescent="0.35">
      <c r="A6" s="9" t="s">
        <v>4</v>
      </c>
      <c r="B6" s="1" t="str">
        <f>IF(AND(B2=-B4, MOD(ABS(B3-B5), 360)=180), "ERROR: Antipodal Points", "Valid")</f>
        <v>Valid</v>
      </c>
    </row>
    <row r="7" spans="1:6" x14ac:dyDescent="0.35">
      <c r="A7" s="9" t="s">
        <v>5</v>
      </c>
      <c r="B7" s="2">
        <f>(TAN(RADIANS(B2))*COS(RADIANS(B5))-TAN(RADIANS(B4))*COS(RADIANS(B3)))/SIN(RADIANS(B3)-RADIANS(B5))</f>
        <v>0.47805949011667742</v>
      </c>
    </row>
    <row r="8" spans="1:6" x14ac:dyDescent="0.35">
      <c r="A8" s="9" t="s">
        <v>6</v>
      </c>
      <c r="B8" s="2">
        <f>(SIN(RADIANS(B3))*TAN(RADIANS(B4))-SIN(RADIANS(B5))*TAN(RADIANS(B2)))/SIN(RADIANS(B3)-RADIANS(B5))</f>
        <v>-1.3313274451997648</v>
      </c>
    </row>
    <row r="9" spans="1:6" x14ac:dyDescent="0.35">
      <c r="A9" s="9" t="s">
        <v>7</v>
      </c>
      <c r="B9" s="1">
        <f>ROUNDUP(DEGREES(ATAN(SQRT(B7^2 + B8^2))),3)</f>
        <v>54.742999999999995</v>
      </c>
    </row>
    <row r="10" spans="1:6" x14ac:dyDescent="0.35">
      <c r="A10" s="9" t="s">
        <v>8</v>
      </c>
      <c r="B10" s="1" t="b">
        <f>OR(MOD(B3-B5, 180)=0, ABS(B2)=90, ABS(B4)=90)</f>
        <v>0</v>
      </c>
    </row>
    <row r="11" spans="1:6" x14ac:dyDescent="0.35">
      <c r="A11" s="9"/>
    </row>
    <row r="12" spans="1:6" s="9" customFormat="1" x14ac:dyDescent="0.35">
      <c r="A12" s="9" t="s">
        <v>10</v>
      </c>
      <c r="B12" s="9" t="s">
        <v>9</v>
      </c>
      <c r="C12" s="9" t="s">
        <v>11</v>
      </c>
      <c r="D12" s="9" t="s">
        <v>12</v>
      </c>
      <c r="E12" s="9" t="s">
        <v>13</v>
      </c>
      <c r="F12" s="9" t="s">
        <v>14</v>
      </c>
    </row>
    <row r="13" spans="1:6" x14ac:dyDescent="0.35">
      <c r="A13" s="11">
        <f>COUNTA(A$12:A12)-1</f>
        <v>0</v>
      </c>
      <c r="B13" s="12">
        <v>-162</v>
      </c>
      <c r="C13" s="13">
        <f t="shared" ref="C13:C76" si="0">DEGREES(ATAN($B$7 * SIN(RADIANS(B13)) + $B$8 * COS(RADIANS(B13))))</f>
        <v>48.199999999999996</v>
      </c>
      <c r="D13" s="13" t="str">
        <f t="shared" ref="D13:D76" si="1">IF(C12="Lat","",C13-C12)</f>
        <v/>
      </c>
      <c r="E13" s="14">
        <f t="shared" ref="E13:E76" si="2">ROUND(C13,2)</f>
        <v>48.2</v>
      </c>
      <c r="F13" t="str">
        <f t="shared" ref="F13:F76" si="3">"&lt;Placemark&gt;&lt;name&gt;"&amp;E13&amp;","&amp;B13&amp;"&lt;/name&gt;&lt;Point&gt;&lt;coordinates&gt;"&amp;B13&amp;","&amp;E13&amp;",0&lt;/coordinates&gt;&lt;/Point&gt;&lt;/Placemark&gt;"</f>
        <v>&lt;Placemark&gt;&lt;name&gt;48.2,-162&lt;/name&gt;&lt;Point&gt;&lt;coordinates&gt;-162,48.2,0&lt;/coordinates&gt;&lt;/Point&gt;&lt;/Placemark&gt;</v>
      </c>
    </row>
    <row r="14" spans="1:6" x14ac:dyDescent="0.35">
      <c r="A14" s="1">
        <f>COUNTA(A$12:A13)-1</f>
        <v>1</v>
      </c>
      <c r="B14" s="3">
        <f>IF(B13&gt;=180,ROUND(B13,2)+0.25-360,ROUND(B13,2)+0.25)</f>
        <v>-161.75</v>
      </c>
      <c r="C14" s="4">
        <f t="shared" si="0"/>
        <v>48.103356772190068</v>
      </c>
      <c r="D14" s="4">
        <f t="shared" si="1"/>
        <v>-9.6643227809927623E-2</v>
      </c>
      <c r="E14" s="5">
        <f t="shared" si="2"/>
        <v>48.1</v>
      </c>
      <c r="F14" t="str">
        <f t="shared" si="3"/>
        <v>&lt;Placemark&gt;&lt;name&gt;48.1,-161.75&lt;/name&gt;&lt;Point&gt;&lt;coordinates&gt;-161.75,48.1,0&lt;/coordinates&gt;&lt;/Point&gt;&lt;/Placemark&gt;</v>
      </c>
    </row>
    <row r="15" spans="1:6" x14ac:dyDescent="0.35">
      <c r="A15" s="1">
        <f>COUNTA(A$12:A14)-1</f>
        <v>2</v>
      </c>
      <c r="B15" s="3">
        <f t="shared" ref="B15:B78" si="4">IF(B14&gt;=180,ROUND(B14,2)+0.25-360,ROUND(B14,2)+0.25)</f>
        <v>-161.5</v>
      </c>
      <c r="C15" s="4">
        <f t="shared" si="0"/>
        <v>48.005804499870287</v>
      </c>
      <c r="D15" s="4">
        <f t="shared" si="1"/>
        <v>-9.7552272319781252E-2</v>
      </c>
      <c r="E15" s="5">
        <f t="shared" si="2"/>
        <v>48.01</v>
      </c>
      <c r="F15" t="str">
        <f t="shared" si="3"/>
        <v>&lt;Placemark&gt;&lt;name&gt;48.01,-161.5&lt;/name&gt;&lt;Point&gt;&lt;coordinates&gt;-161.5,48.01,0&lt;/coordinates&gt;&lt;/Point&gt;&lt;/Placemark&gt;</v>
      </c>
    </row>
    <row r="16" spans="1:6" x14ac:dyDescent="0.35">
      <c r="A16" s="1">
        <f>COUNTA(A$12:A15)-1</f>
        <v>3</v>
      </c>
      <c r="B16" s="3">
        <f t="shared" si="4"/>
        <v>-161.25</v>
      </c>
      <c r="C16" s="4">
        <f t="shared" si="0"/>
        <v>47.907337340221964</v>
      </c>
      <c r="D16" s="4">
        <f t="shared" si="1"/>
        <v>-9.8467159648322422E-2</v>
      </c>
      <c r="E16" s="5">
        <f t="shared" si="2"/>
        <v>47.91</v>
      </c>
      <c r="F16" t="str">
        <f t="shared" si="3"/>
        <v>&lt;Placemark&gt;&lt;name&gt;47.91,-161.25&lt;/name&gt;&lt;Point&gt;&lt;coordinates&gt;-161.25,47.91,0&lt;/coordinates&gt;&lt;/Point&gt;&lt;/Placemark&gt;</v>
      </c>
    </row>
    <row r="17" spans="1:6" x14ac:dyDescent="0.35">
      <c r="A17" s="1">
        <f>COUNTA(A$12:A16)-1</f>
        <v>4</v>
      </c>
      <c r="B17" s="3">
        <f t="shared" si="4"/>
        <v>-161</v>
      </c>
      <c r="C17" s="4">
        <f t="shared" si="0"/>
        <v>47.807949400376188</v>
      </c>
      <c r="D17" s="4">
        <f t="shared" si="1"/>
        <v>-9.938793984577643E-2</v>
      </c>
      <c r="E17" s="5">
        <f t="shared" si="2"/>
        <v>47.81</v>
      </c>
      <c r="F17" t="str">
        <f t="shared" si="3"/>
        <v>&lt;Placemark&gt;&lt;name&gt;47.81,-161&lt;/name&gt;&lt;Point&gt;&lt;coordinates&gt;-161,47.81,0&lt;/coordinates&gt;&lt;/Point&gt;&lt;/Placemark&gt;</v>
      </c>
    </row>
    <row r="18" spans="1:6" x14ac:dyDescent="0.35">
      <c r="A18" s="1">
        <f>COUNTA(A$12:A17)-1</f>
        <v>5</v>
      </c>
      <c r="B18" s="3">
        <f t="shared" si="4"/>
        <v>-160.75</v>
      </c>
      <c r="C18" s="4">
        <f t="shared" si="0"/>
        <v>47.707634737462989</v>
      </c>
      <c r="D18" s="4">
        <f t="shared" si="1"/>
        <v>-0.10031466291319902</v>
      </c>
      <c r="E18" s="5">
        <f t="shared" si="2"/>
        <v>47.71</v>
      </c>
      <c r="F18" t="str">
        <f t="shared" si="3"/>
        <v>&lt;Placemark&gt;&lt;name&gt;47.71,-160.75&lt;/name&gt;&lt;Point&gt;&lt;coordinates&gt;-160.75,47.71,0&lt;/coordinates&gt;&lt;/Point&gt;&lt;/Placemark&gt;</v>
      </c>
    </row>
    <row r="19" spans="1:6" x14ac:dyDescent="0.35">
      <c r="A19" s="1">
        <f>COUNTA(A$12:A18)-1</f>
        <v>6</v>
      </c>
      <c r="B19" s="3">
        <f t="shared" si="4"/>
        <v>-160.5</v>
      </c>
      <c r="C19" s="4">
        <f t="shared" si="0"/>
        <v>47.606387358675349</v>
      </c>
      <c r="D19" s="4">
        <f t="shared" si="1"/>
        <v>-0.10124737878764023</v>
      </c>
      <c r="E19" s="5">
        <f t="shared" si="2"/>
        <v>47.61</v>
      </c>
      <c r="F19" t="str">
        <f t="shared" si="3"/>
        <v>&lt;Placemark&gt;&lt;name&gt;47.61,-160.5&lt;/name&gt;&lt;Point&gt;&lt;coordinates&gt;-160.5,47.61,0&lt;/coordinates&gt;&lt;/Point&gt;&lt;/Placemark&gt;</v>
      </c>
    </row>
    <row r="20" spans="1:6" x14ac:dyDescent="0.35">
      <c r="A20" s="1">
        <f>COUNTA(A$12:A19)-1</f>
        <v>7</v>
      </c>
      <c r="B20" s="3">
        <f t="shared" si="4"/>
        <v>-160.25</v>
      </c>
      <c r="C20" s="4">
        <f t="shared" si="0"/>
        <v>47.504201221348517</v>
      </c>
      <c r="D20" s="4">
        <f t="shared" si="1"/>
        <v>-0.10218613732683224</v>
      </c>
      <c r="E20" s="5">
        <f t="shared" si="2"/>
        <v>47.5</v>
      </c>
      <c r="F20" t="str">
        <f t="shared" si="3"/>
        <v>&lt;Placemark&gt;&lt;name&gt;47.5,-160.25&lt;/name&gt;&lt;Point&gt;&lt;coordinates&gt;-160.25,47.5,0&lt;/coordinates&gt;&lt;/Point&gt;&lt;/Placemark&gt;</v>
      </c>
    </row>
    <row r="21" spans="1:6" x14ac:dyDescent="0.35">
      <c r="A21" s="1">
        <f>COUNTA(A$12:A20)-1</f>
        <v>8</v>
      </c>
      <c r="B21" s="3">
        <f t="shared" si="4"/>
        <v>-160</v>
      </c>
      <c r="C21" s="4">
        <f t="shared" si="0"/>
        <v>47.401070233055158</v>
      </c>
      <c r="D21" s="4">
        <f t="shared" si="1"/>
        <v>-0.10313098829335843</v>
      </c>
      <c r="E21" s="5">
        <f t="shared" si="2"/>
        <v>47.4</v>
      </c>
      <c r="F21" t="str">
        <f t="shared" si="3"/>
        <v>&lt;Placemark&gt;&lt;name&gt;47.4,-160&lt;/name&gt;&lt;Point&gt;&lt;coordinates&gt;-160,47.4,0&lt;/coordinates&gt;&lt;/Point&gt;&lt;/Placemark&gt;</v>
      </c>
    </row>
    <row r="22" spans="1:6" x14ac:dyDescent="0.35">
      <c r="A22" s="1">
        <f>COUNTA(A$12:A21)-1</f>
        <v>9</v>
      </c>
      <c r="B22" s="3">
        <f t="shared" si="4"/>
        <v>-159.75</v>
      </c>
      <c r="C22" s="4">
        <f t="shared" si="0"/>
        <v>47.296988251717266</v>
      </c>
      <c r="D22" s="4">
        <f t="shared" si="1"/>
        <v>-0.1040819813378917</v>
      </c>
      <c r="E22" s="5">
        <f t="shared" si="2"/>
        <v>47.3</v>
      </c>
      <c r="F22" t="str">
        <f t="shared" si="3"/>
        <v>&lt;Placemark&gt;&lt;name&gt;47.3,-159.75&lt;/name&gt;&lt;Point&gt;&lt;coordinates&gt;-159.75,47.3,0&lt;/coordinates&gt;&lt;/Point&gt;&lt;/Placemark&gt;</v>
      </c>
    </row>
    <row r="23" spans="1:6" x14ac:dyDescent="0.35">
      <c r="A23" s="1">
        <f>COUNTA(A$12:A22)-1</f>
        <v>10</v>
      </c>
      <c r="B23" s="3">
        <f t="shared" si="4"/>
        <v>-159.5</v>
      </c>
      <c r="C23" s="4">
        <f t="shared" si="0"/>
        <v>47.19194908573489</v>
      </c>
      <c r="D23" s="4">
        <f t="shared" si="1"/>
        <v>-0.10503916598237595</v>
      </c>
      <c r="E23" s="5">
        <f t="shared" si="2"/>
        <v>47.19</v>
      </c>
      <c r="F23" t="str">
        <f t="shared" si="3"/>
        <v>&lt;Placemark&gt;&lt;name&gt;47.19,-159.5&lt;/name&gt;&lt;Point&gt;&lt;coordinates&gt;-159.5,47.19,0&lt;/coordinates&gt;&lt;/Point&gt;&lt;/Placemark&gt;</v>
      </c>
    </row>
    <row r="24" spans="1:6" x14ac:dyDescent="0.35">
      <c r="A24" s="1">
        <f>COUNTA(A$12:A23)-1</f>
        <v>11</v>
      </c>
      <c r="B24" s="3">
        <f t="shared" si="4"/>
        <v>-159.25</v>
      </c>
      <c r="C24" s="4">
        <f t="shared" si="0"/>
        <v>47.085946494132962</v>
      </c>
      <c r="D24" s="4">
        <f t="shared" si="1"/>
        <v>-0.10600259160192849</v>
      </c>
      <c r="E24" s="5">
        <f t="shared" si="2"/>
        <v>47.09</v>
      </c>
      <c r="F24" t="str">
        <f t="shared" si="3"/>
        <v>&lt;Placemark&gt;&lt;name&gt;47.09,-159.25&lt;/name&gt;&lt;Point&gt;&lt;coordinates&gt;-159.25,47.09,0&lt;/coordinates&gt;&lt;/Point&gt;&lt;/Placemark&gt;</v>
      </c>
    </row>
    <row r="25" spans="1:6" x14ac:dyDescent="0.35">
      <c r="A25" s="1">
        <f>COUNTA(A$12:A24)-1</f>
        <v>12</v>
      </c>
      <c r="B25" s="3">
        <f t="shared" si="4"/>
        <v>-159</v>
      </c>
      <c r="C25" s="4">
        <f t="shared" si="0"/>
        <v>46.978974186726283</v>
      </c>
      <c r="D25" s="4">
        <f t="shared" si="1"/>
        <v>-0.10697230740667862</v>
      </c>
      <c r="E25" s="5">
        <f t="shared" si="2"/>
        <v>46.98</v>
      </c>
      <c r="F25" t="str">
        <f t="shared" si="3"/>
        <v>&lt;Placemark&gt;&lt;name&gt;46.98,-159&lt;/name&gt;&lt;Point&gt;&lt;coordinates&gt;-159,46.98,0&lt;/coordinates&gt;&lt;/Point&gt;&lt;/Placemark&gt;</v>
      </c>
    </row>
    <row r="26" spans="1:6" x14ac:dyDescent="0.35">
      <c r="A26" s="1">
        <f>COUNTA(A$12:A25)-1</f>
        <v>13</v>
      </c>
      <c r="B26" s="3">
        <f t="shared" si="4"/>
        <v>-158.75</v>
      </c>
      <c r="C26" s="4">
        <f t="shared" si="0"/>
        <v>46.871025824303729</v>
      </c>
      <c r="D26" s="4">
        <f t="shared" si="1"/>
        <v>-0.10794836242255457</v>
      </c>
      <c r="E26" s="5">
        <f t="shared" si="2"/>
        <v>46.87</v>
      </c>
      <c r="F26" t="str">
        <f t="shared" si="3"/>
        <v>&lt;Placemark&gt;&lt;name&gt;46.87,-158.75&lt;/name&gt;&lt;Point&gt;&lt;coordinates&gt;-158.75,46.87,0&lt;/coordinates&gt;&lt;/Point&gt;&lt;/Placemark&gt;</v>
      </c>
    </row>
    <row r="27" spans="1:6" x14ac:dyDescent="0.35">
      <c r="A27" s="1">
        <f>COUNTA(A$12:A26)-1</f>
        <v>14</v>
      </c>
      <c r="B27" s="3">
        <f t="shared" si="4"/>
        <v>-158.5</v>
      </c>
      <c r="C27" s="4">
        <f t="shared" si="0"/>
        <v>46.762095018832312</v>
      </c>
      <c r="D27" s="4">
        <f t="shared" si="1"/>
        <v>-0.10893080547141665</v>
      </c>
      <c r="E27" s="5">
        <f t="shared" si="2"/>
        <v>46.76</v>
      </c>
      <c r="F27" t="str">
        <f t="shared" si="3"/>
        <v>&lt;Placemark&gt;&lt;name&gt;46.76,-158.5&lt;/name&gt;&lt;Point&gt;&lt;coordinates&gt;-158.5,46.76,0&lt;/coordinates&gt;&lt;/Point&gt;&lt;/Placemark&gt;</v>
      </c>
    </row>
    <row r="28" spans="1:6" x14ac:dyDescent="0.35">
      <c r="A28" s="1">
        <f>COUNTA(A$12:A27)-1</f>
        <v>15</v>
      </c>
      <c r="B28" s="3">
        <f t="shared" si="4"/>
        <v>-158.25</v>
      </c>
      <c r="C28" s="4">
        <f t="shared" si="0"/>
        <v>46.65217533368142</v>
      </c>
      <c r="D28" s="4">
        <f t="shared" si="1"/>
        <v>-0.10991968515089212</v>
      </c>
      <c r="E28" s="5">
        <f t="shared" si="2"/>
        <v>46.65</v>
      </c>
      <c r="F28" t="str">
        <f t="shared" si="3"/>
        <v>&lt;Placemark&gt;&lt;name&gt;46.65,-158.25&lt;/name&gt;&lt;Point&gt;&lt;coordinates&gt;-158.25,46.65,0&lt;/coordinates&gt;&lt;/Point&gt;&lt;/Placemark&gt;</v>
      </c>
    </row>
    <row r="29" spans="1:6" x14ac:dyDescent="0.35">
      <c r="A29" s="1">
        <f>COUNTA(A$12:A28)-1</f>
        <v>16</v>
      </c>
      <c r="B29" s="3">
        <f t="shared" si="4"/>
        <v>-158</v>
      </c>
      <c r="C29" s="4">
        <f t="shared" si="0"/>
        <v>46.54126028386861</v>
      </c>
      <c r="D29" s="4">
        <f t="shared" si="1"/>
        <v>-0.1109150498128102</v>
      </c>
      <c r="E29" s="5">
        <f t="shared" si="2"/>
        <v>46.54</v>
      </c>
      <c r="F29" t="str">
        <f t="shared" si="3"/>
        <v>&lt;Placemark&gt;&lt;name&gt;46.54,-158&lt;/name&gt;&lt;Point&gt;&lt;coordinates&gt;-158,46.54,0&lt;/coordinates&gt;&lt;/Point&gt;&lt;/Placemark&gt;</v>
      </c>
    </row>
    <row r="30" spans="1:6" x14ac:dyDescent="0.35">
      <c r="A30" s="1">
        <f>COUNTA(A$12:A29)-1</f>
        <v>17</v>
      </c>
      <c r="B30" s="3">
        <f t="shared" si="4"/>
        <v>-157.75</v>
      </c>
      <c r="C30" s="4">
        <f t="shared" si="0"/>
        <v>46.429343336327044</v>
      </c>
      <c r="D30" s="4">
        <f t="shared" si="1"/>
        <v>-0.111916947541566</v>
      </c>
      <c r="E30" s="5">
        <f t="shared" si="2"/>
        <v>46.43</v>
      </c>
      <c r="F30" t="str">
        <f t="shared" si="3"/>
        <v>&lt;Placemark&gt;&lt;name&gt;46.43,-157.75&lt;/name&gt;&lt;Point&gt;&lt;coordinates&gt;-157.75,46.43,0&lt;/coordinates&gt;&lt;/Point&gt;&lt;/Placemark&gt;</v>
      </c>
    </row>
    <row r="31" spans="1:6" x14ac:dyDescent="0.35">
      <c r="A31" s="1">
        <f>COUNTA(A$12:A30)-1</f>
        <v>18</v>
      </c>
      <c r="B31" s="3">
        <f t="shared" si="4"/>
        <v>-157.5</v>
      </c>
      <c r="C31" s="4">
        <f t="shared" si="0"/>
        <v>46.316417910195732</v>
      </c>
      <c r="D31" s="4">
        <f t="shared" si="1"/>
        <v>-0.11292542613131218</v>
      </c>
      <c r="E31" s="5">
        <f t="shared" si="2"/>
        <v>46.32</v>
      </c>
      <c r="F31" t="str">
        <f t="shared" si="3"/>
        <v>&lt;Placemark&gt;&lt;name&gt;46.32,-157.5&lt;/name&gt;&lt;Point&gt;&lt;coordinates&gt;-157.5,46.32,0&lt;/coordinates&gt;&lt;/Point&gt;&lt;/Placemark&gt;</v>
      </c>
    </row>
    <row r="32" spans="1:6" x14ac:dyDescent="0.35">
      <c r="A32" s="1">
        <f>COUNTA(A$12:A31)-1</f>
        <v>19</v>
      </c>
      <c r="B32" s="3">
        <f t="shared" si="4"/>
        <v>-157.25</v>
      </c>
      <c r="C32" s="4">
        <f t="shared" si="0"/>
        <v>46.202477377133164</v>
      </c>
      <c r="D32" s="4">
        <f t="shared" si="1"/>
        <v>-0.11394053306256779</v>
      </c>
      <c r="E32" s="5">
        <f t="shared" si="2"/>
        <v>46.2</v>
      </c>
      <c r="F32" t="str">
        <f t="shared" si="3"/>
        <v>&lt;Placemark&gt;&lt;name&gt;46.2,-157.25&lt;/name&gt;&lt;Point&gt;&lt;coordinates&gt;-157.25,46.2,0&lt;/coordinates&gt;&lt;/Point&gt;&lt;/Placemark&gt;</v>
      </c>
    </row>
    <row r="33" spans="1:6" x14ac:dyDescent="0.35">
      <c r="A33" s="1">
        <f>COUNTA(A$12:A32)-1</f>
        <v>20</v>
      </c>
      <c r="B33" s="3">
        <f t="shared" si="4"/>
        <v>-157</v>
      </c>
      <c r="C33" s="4">
        <f t="shared" si="0"/>
        <v>46.087515061655267</v>
      </c>
      <c r="D33" s="4">
        <f t="shared" si="1"/>
        <v>-0.11496231547789648</v>
      </c>
      <c r="E33" s="5">
        <f t="shared" si="2"/>
        <v>46.09</v>
      </c>
      <c r="F33" t="str">
        <f t="shared" si="3"/>
        <v>&lt;Placemark&gt;&lt;name&gt;46.09,-157&lt;/name&gt;&lt;Point&gt;&lt;coordinates&gt;-157,46.09,0&lt;/coordinates&gt;&lt;/Point&gt;&lt;/Placemark&gt;</v>
      </c>
    </row>
    <row r="34" spans="1:6" x14ac:dyDescent="0.35">
      <c r="A34" s="1">
        <f>COUNTA(A$12:A33)-1</f>
        <v>21</v>
      </c>
      <c r="B34" s="3">
        <f t="shared" si="4"/>
        <v>-156.75</v>
      </c>
      <c r="C34" s="4">
        <f t="shared" si="0"/>
        <v>45.971524241498294</v>
      </c>
      <c r="D34" s="4">
        <f t="shared" si="1"/>
        <v>-0.11599082015697348</v>
      </c>
      <c r="E34" s="5">
        <f t="shared" si="2"/>
        <v>45.97</v>
      </c>
      <c r="F34" t="str">
        <f t="shared" si="3"/>
        <v>&lt;Placemark&gt;&lt;name&gt;45.97,-156.75&lt;/name&gt;&lt;Point&gt;&lt;coordinates&gt;-156.75,45.97,0&lt;/coordinates&gt;&lt;/Point&gt;&lt;/Placemark&gt;</v>
      </c>
    </row>
    <row r="35" spans="1:6" x14ac:dyDescent="0.35">
      <c r="A35" s="1">
        <f>COUNTA(A$12:A34)-1</f>
        <v>22</v>
      </c>
      <c r="B35" s="3">
        <f t="shared" si="4"/>
        <v>-156.5</v>
      </c>
      <c r="C35" s="4">
        <f t="shared" si="0"/>
        <v>45.854498148007664</v>
      </c>
      <c r="D35" s="4">
        <f t="shared" si="1"/>
        <v>-0.11702609349062953</v>
      </c>
      <c r="E35" s="5">
        <f t="shared" si="2"/>
        <v>45.85</v>
      </c>
      <c r="F35" t="str">
        <f t="shared" si="3"/>
        <v>&lt;Placemark&gt;&lt;name&gt;45.85,-156.5&lt;/name&gt;&lt;Point&gt;&lt;coordinates&gt;-156.5,45.85,0&lt;/coordinates&gt;&lt;/Point&gt;&lt;/Placemark&gt;</v>
      </c>
    </row>
    <row r="36" spans="1:6" x14ac:dyDescent="0.35">
      <c r="A36" s="1">
        <f>COUNTA(A$12:A35)-1</f>
        <v>23</v>
      </c>
      <c r="B36" s="3">
        <f t="shared" si="4"/>
        <v>-156.25</v>
      </c>
      <c r="C36" s="4">
        <f t="shared" si="0"/>
        <v>45.736429966553452</v>
      </c>
      <c r="D36" s="4">
        <f t="shared" si="1"/>
        <v>-0.11806818145421261</v>
      </c>
      <c r="E36" s="5">
        <f t="shared" si="2"/>
        <v>45.74</v>
      </c>
      <c r="F36" t="str">
        <f t="shared" si="3"/>
        <v>&lt;Placemark&gt;&lt;name&gt;45.74,-156.25&lt;/name&gt;&lt;Point&gt;&lt;coordinates&gt;-156.25,45.74,0&lt;/coordinates&gt;&lt;/Point&gt;&lt;/Placemark&gt;</v>
      </c>
    </row>
    <row r="37" spans="1:6" x14ac:dyDescent="0.35">
      <c r="A37" s="1">
        <f>COUNTA(A$12:A36)-1</f>
        <v>24</v>
      </c>
      <c r="B37" s="3">
        <f t="shared" si="4"/>
        <v>-156</v>
      </c>
      <c r="C37" s="4">
        <f t="shared" si="0"/>
        <v>45.617312836973518</v>
      </c>
      <c r="D37" s="4">
        <f t="shared" si="1"/>
        <v>-0.11911712957993359</v>
      </c>
      <c r="E37" s="5">
        <f t="shared" si="2"/>
        <v>45.62</v>
      </c>
      <c r="F37" t="str">
        <f t="shared" si="3"/>
        <v>&lt;Placemark&gt;&lt;name&gt;45.62,-156&lt;/name&gt;&lt;Point&gt;&lt;coordinates&gt;-156,45.62,0&lt;/coordinates&gt;&lt;/Point&gt;&lt;/Placemark&gt;</v>
      </c>
    </row>
    <row r="38" spans="1:6" x14ac:dyDescent="0.35">
      <c r="A38" s="1">
        <f>COUNTA(A$12:A37)-1</f>
        <v>25</v>
      </c>
      <c r="B38" s="3">
        <f t="shared" si="4"/>
        <v>-155.75</v>
      </c>
      <c r="C38" s="4">
        <f t="shared" si="0"/>
        <v>45.497139854045137</v>
      </c>
      <c r="D38" s="4">
        <f t="shared" si="1"/>
        <v>-0.12017298292838063</v>
      </c>
      <c r="E38" s="5">
        <f t="shared" si="2"/>
        <v>45.5</v>
      </c>
      <c r="F38" t="str">
        <f t="shared" si="3"/>
        <v>&lt;Placemark&gt;&lt;name&gt;45.5,-155.75&lt;/name&gt;&lt;Point&gt;&lt;coordinates&gt;-155.75,45.5,0&lt;/coordinates&gt;&lt;/Point&gt;&lt;/Placemark&gt;</v>
      </c>
    </row>
    <row r="39" spans="1:6" x14ac:dyDescent="0.35">
      <c r="A39" s="1">
        <f>COUNTA(A$12:A38)-1</f>
        <v>26</v>
      </c>
      <c r="B39" s="3">
        <f t="shared" si="4"/>
        <v>-155.5</v>
      </c>
      <c r="C39" s="4">
        <f t="shared" si="0"/>
        <v>45.375904067985836</v>
      </c>
      <c r="D39" s="4">
        <f t="shared" si="1"/>
        <v>-0.12123578605930163</v>
      </c>
      <c r="E39" s="5">
        <f t="shared" si="2"/>
        <v>45.38</v>
      </c>
      <c r="F39" t="str">
        <f t="shared" si="3"/>
        <v>&lt;Placemark&gt;&lt;name&gt;45.38,-155.5&lt;/name&gt;&lt;Point&gt;&lt;coordinates&gt;-155.5,45.38,0&lt;/coordinates&gt;&lt;/Point&gt;&lt;/Placemark&gt;</v>
      </c>
    </row>
    <row r="40" spans="1:6" x14ac:dyDescent="0.35">
      <c r="A40" s="1">
        <f>COUNTA(A$12:A39)-1</f>
        <v>27</v>
      </c>
      <c r="B40" s="3">
        <f t="shared" si="4"/>
        <v>-155.25</v>
      </c>
      <c r="C40" s="4">
        <f t="shared" si="0"/>
        <v>45.253598484984749</v>
      </c>
      <c r="D40" s="4">
        <f t="shared" si="1"/>
        <v>-0.1223055830010864</v>
      </c>
      <c r="E40" s="5">
        <f t="shared" si="2"/>
        <v>45.25</v>
      </c>
      <c r="F40" t="str">
        <f t="shared" si="3"/>
        <v>&lt;Placemark&gt;&lt;name&gt;45.25,-155.25&lt;/name&gt;&lt;Point&gt;&lt;coordinates&gt;-155.25,45.25,0&lt;/coordinates&gt;&lt;/Point&gt;&lt;/Placemark&gt;</v>
      </c>
    </row>
    <row r="41" spans="1:6" x14ac:dyDescent="0.35">
      <c r="A41" s="1">
        <f>COUNTA(A$12:A40)-1</f>
        <v>28</v>
      </c>
      <c r="B41" s="3">
        <f t="shared" si="4"/>
        <v>-155</v>
      </c>
      <c r="C41" s="4">
        <f t="shared" si="0"/>
        <v>45.13021606776497</v>
      </c>
      <c r="D41" s="4">
        <f t="shared" si="1"/>
        <v>-0.12338241721977994</v>
      </c>
      <c r="E41" s="5">
        <f t="shared" si="2"/>
        <v>45.13</v>
      </c>
      <c r="F41" t="str">
        <f t="shared" si="3"/>
        <v>&lt;Placemark&gt;&lt;name&gt;45.13,-155&lt;/name&gt;&lt;Point&gt;&lt;coordinates&gt;-155,45.13,0&lt;/coordinates&gt;&lt;/Point&gt;&lt;/Placemark&gt;</v>
      </c>
    </row>
    <row r="42" spans="1:6" x14ac:dyDescent="0.35">
      <c r="A42" s="1">
        <f>COUNTA(A$12:A41)-1</f>
        <v>29</v>
      </c>
      <c r="B42" s="3">
        <f t="shared" si="4"/>
        <v>-154.75</v>
      </c>
      <c r="C42" s="4">
        <f t="shared" si="0"/>
        <v>45.005749736178359</v>
      </c>
      <c r="D42" s="4">
        <f t="shared" si="1"/>
        <v>-0.12446633158661058</v>
      </c>
      <c r="E42" s="5">
        <f t="shared" si="2"/>
        <v>45.01</v>
      </c>
      <c r="F42" t="str">
        <f t="shared" si="3"/>
        <v>&lt;Placemark&gt;&lt;name&gt;45.01,-154.75&lt;/name&gt;&lt;Point&gt;&lt;coordinates&gt;-154.75,45.01,0&lt;/coordinates&gt;&lt;/Point&gt;&lt;/Placemark&gt;</v>
      </c>
    </row>
    <row r="43" spans="1:6" x14ac:dyDescent="0.35">
      <c r="A43" s="1">
        <f>COUNTA(A$12:A42)-1</f>
        <v>30</v>
      </c>
      <c r="B43" s="3">
        <f t="shared" si="4"/>
        <v>-154.5</v>
      </c>
      <c r="C43" s="4">
        <f t="shared" si="0"/>
        <v>44.880192367833324</v>
      </c>
      <c r="D43" s="4">
        <f t="shared" si="1"/>
        <v>-0.12555736834503506</v>
      </c>
      <c r="E43" s="5">
        <f t="shared" si="2"/>
        <v>44.88</v>
      </c>
      <c r="F43" t="str">
        <f t="shared" si="3"/>
        <v>&lt;Placemark&gt;&lt;name&gt;44.88,-154.5&lt;/name&gt;&lt;Point&gt;&lt;coordinates&gt;-154.5,44.88,0&lt;/coordinates&gt;&lt;/Point&gt;&lt;/Placemark&gt;</v>
      </c>
    </row>
    <row r="44" spans="1:6" x14ac:dyDescent="0.35">
      <c r="A44" s="1">
        <f>COUNTA(A$12:A43)-1</f>
        <v>31</v>
      </c>
      <c r="B44" s="3">
        <f t="shared" si="4"/>
        <v>-154.25</v>
      </c>
      <c r="C44" s="4">
        <f t="shared" si="0"/>
        <v>44.753536798756869</v>
      </c>
      <c r="D44" s="4">
        <f t="shared" si="1"/>
        <v>-0.12665556907645481</v>
      </c>
      <c r="E44" s="5">
        <f t="shared" si="2"/>
        <v>44.75</v>
      </c>
      <c r="F44" t="str">
        <f t="shared" si="3"/>
        <v>&lt;Placemark&gt;&lt;name&gt;44.75,-154.25&lt;/name&gt;&lt;Point&gt;&lt;coordinates&gt;-154.25,44.75,0&lt;/coordinates&gt;&lt;/Point&gt;&lt;/Placemark&gt;</v>
      </c>
    </row>
    <row r="45" spans="1:6" x14ac:dyDescent="0.35">
      <c r="A45" s="1">
        <f>COUNTA(A$12:A44)-1</f>
        <v>32</v>
      </c>
      <c r="B45" s="3">
        <f t="shared" si="4"/>
        <v>-154</v>
      </c>
      <c r="C45" s="4">
        <f t="shared" si="0"/>
        <v>44.62577582409191</v>
      </c>
      <c r="D45" s="4">
        <f t="shared" si="1"/>
        <v>-0.12776097466495884</v>
      </c>
      <c r="E45" s="5">
        <f t="shared" si="2"/>
        <v>44.63</v>
      </c>
      <c r="F45" t="str">
        <f t="shared" si="3"/>
        <v>&lt;Placemark&gt;&lt;name&gt;44.63,-154&lt;/name&gt;&lt;Point&gt;&lt;coordinates&gt;-154,44.63,0&lt;/coordinates&gt;&lt;/Point&gt;&lt;/Placemark&gt;</v>
      </c>
    </row>
    <row r="46" spans="1:6" x14ac:dyDescent="0.35">
      <c r="A46" s="1">
        <f>COUNTA(A$12:A45)-1</f>
        <v>33</v>
      </c>
      <c r="B46" s="3">
        <f t="shared" si="4"/>
        <v>-153.75</v>
      </c>
      <c r="C46" s="4">
        <f t="shared" si="0"/>
        <v>44.496902198830703</v>
      </c>
      <c r="D46" s="4">
        <f t="shared" si="1"/>
        <v>-0.12887362526120683</v>
      </c>
      <c r="E46" s="5">
        <f t="shared" si="2"/>
        <v>44.5</v>
      </c>
      <c r="F46" t="str">
        <f t="shared" si="3"/>
        <v>&lt;Placemark&gt;&lt;name&gt;44.5,-153.75&lt;/name&gt;&lt;Point&gt;&lt;coordinates&gt;-153.75,44.5,0&lt;/coordinates&gt;&lt;/Point&gt;&lt;/Placemark&gt;</v>
      </c>
    </row>
    <row r="47" spans="1:6" x14ac:dyDescent="0.35">
      <c r="A47" s="1">
        <f>COUNTA(A$12:A46)-1</f>
        <v>34</v>
      </c>
      <c r="B47" s="3">
        <f t="shared" si="4"/>
        <v>-153.5</v>
      </c>
      <c r="C47" s="4">
        <f t="shared" si="0"/>
        <v>44.366908638585755</v>
      </c>
      <c r="D47" s="4">
        <f t="shared" si="1"/>
        <v>-0.12999356024494801</v>
      </c>
      <c r="E47" s="5">
        <f t="shared" si="2"/>
        <v>44.37</v>
      </c>
      <c r="F47" t="str">
        <f t="shared" si="3"/>
        <v>&lt;Placemark&gt;&lt;name&gt;44.37,-153.5&lt;/name&gt;&lt;Point&gt;&lt;coordinates&gt;-153.5,44.37,0&lt;/coordinates&gt;&lt;/Point&gt;&lt;/Placemark&gt;</v>
      </c>
    </row>
    <row r="48" spans="1:6" x14ac:dyDescent="0.35">
      <c r="A48" s="1">
        <f>COUNTA(A$12:A47)-1</f>
        <v>35</v>
      </c>
      <c r="B48" s="3">
        <f t="shared" si="4"/>
        <v>-153.25</v>
      </c>
      <c r="C48" s="4">
        <f t="shared" si="0"/>
        <v>44.235787820399032</v>
      </c>
      <c r="D48" s="4">
        <f t="shared" si="1"/>
        <v>-0.13112081818672294</v>
      </c>
      <c r="E48" s="5">
        <f t="shared" si="2"/>
        <v>44.24</v>
      </c>
      <c r="F48" t="str">
        <f t="shared" si="3"/>
        <v>&lt;Placemark&gt;&lt;name&gt;44.24,-153.25&lt;/name&gt;&lt;Point&gt;&lt;coordinates&gt;-153.25,44.24,0&lt;/coordinates&gt;&lt;/Point&gt;&lt;/Placemark&gt;</v>
      </c>
    </row>
    <row r="49" spans="1:6" x14ac:dyDescent="0.35">
      <c r="A49" s="1">
        <f>COUNTA(A$12:A48)-1</f>
        <v>36</v>
      </c>
      <c r="B49" s="3">
        <f t="shared" si="4"/>
        <v>-153</v>
      </c>
      <c r="C49" s="4">
        <f t="shared" si="0"/>
        <v>44.103532383590654</v>
      </c>
      <c r="D49" s="4">
        <f t="shared" si="1"/>
        <v>-0.13225543680837859</v>
      </c>
      <c r="E49" s="5">
        <f t="shared" si="2"/>
        <v>44.1</v>
      </c>
      <c r="F49" t="str">
        <f t="shared" si="3"/>
        <v>&lt;Placemark&gt;&lt;name&gt;44.1,-153&lt;/name&gt;&lt;Point&gt;&lt;coordinates&gt;-153,44.1,0&lt;/coordinates&gt;&lt;/Point&gt;&lt;/Placemark&gt;</v>
      </c>
    </row>
    <row r="50" spans="1:6" x14ac:dyDescent="0.35">
      <c r="A50" s="1">
        <f>COUNTA(A$12:A49)-1</f>
        <v>37</v>
      </c>
      <c r="B50" s="3">
        <f t="shared" si="4"/>
        <v>-152.75</v>
      </c>
      <c r="C50" s="4">
        <f t="shared" si="0"/>
        <v>43.970134930648335</v>
      </c>
      <c r="D50" s="4">
        <f t="shared" si="1"/>
        <v>-0.13339745294231875</v>
      </c>
      <c r="E50" s="5">
        <f t="shared" si="2"/>
        <v>43.97</v>
      </c>
      <c r="F50" t="str">
        <f t="shared" si="3"/>
        <v>&lt;Placemark&gt;&lt;name&gt;43.97,-152.75&lt;/name&gt;&lt;Point&gt;&lt;coordinates&gt;-152.75,43.97,0&lt;/coordinates&gt;&lt;/Point&gt;&lt;/Placemark&gt;</v>
      </c>
    </row>
    <row r="51" spans="1:6" x14ac:dyDescent="0.35">
      <c r="A51" s="1">
        <f>COUNTA(A$12:A50)-1</f>
        <v>38</v>
      </c>
      <c r="B51" s="3">
        <f t="shared" si="4"/>
        <v>-152.5</v>
      </c>
      <c r="C51" s="4">
        <f t="shared" si="0"/>
        <v>43.835588028158448</v>
      </c>
      <c r="D51" s="4">
        <f t="shared" si="1"/>
        <v>-0.13454690248988754</v>
      </c>
      <c r="E51" s="5">
        <f t="shared" si="2"/>
        <v>43.84</v>
      </c>
      <c r="F51" t="str">
        <f t="shared" si="3"/>
        <v>&lt;Placemark&gt;&lt;name&gt;43.84,-152.5&lt;/name&gt;&lt;Point&gt;&lt;coordinates&gt;-152.5,43.84,0&lt;/coordinates&gt;&lt;/Point&gt;&lt;/Placemark&gt;</v>
      </c>
    </row>
    <row r="52" spans="1:6" x14ac:dyDescent="0.35">
      <c r="A52" s="1">
        <f>COUNTA(A$12:A51)-1</f>
        <v>39</v>
      </c>
      <c r="B52" s="3">
        <f t="shared" si="4"/>
        <v>-152.25</v>
      </c>
      <c r="C52" s="4">
        <f t="shared" si="0"/>
        <v>43.699884207780158</v>
      </c>
      <c r="D52" s="4">
        <f t="shared" si="1"/>
        <v>-0.13570382037828921</v>
      </c>
      <c r="E52" s="5">
        <f t="shared" si="2"/>
        <v>43.7</v>
      </c>
      <c r="F52" t="str">
        <f t="shared" si="3"/>
        <v>&lt;Placemark&gt;&lt;name&gt;43.7,-152.25&lt;/name&gt;&lt;Point&gt;&lt;coordinates&gt;-152.25,43.7,0&lt;/coordinates&gt;&lt;/Point&gt;&lt;/Placemark&gt;</v>
      </c>
    </row>
    <row r="53" spans="1:6" x14ac:dyDescent="0.35">
      <c r="A53" s="1">
        <f>COUNTA(A$12:A52)-1</f>
        <v>40</v>
      </c>
      <c r="B53" s="3">
        <f t="shared" si="4"/>
        <v>-152</v>
      </c>
      <c r="C53" s="4">
        <f t="shared" si="0"/>
        <v>43.563015967263617</v>
      </c>
      <c r="D53" s="4">
        <f t="shared" si="1"/>
        <v>-0.13686824051654156</v>
      </c>
      <c r="E53" s="5">
        <f t="shared" si="2"/>
        <v>43.56</v>
      </c>
      <c r="F53" t="str">
        <f t="shared" si="3"/>
        <v>&lt;Placemark&gt;&lt;name&gt;43.56,-152&lt;/name&gt;&lt;Point&gt;&lt;coordinates&gt;-152,43.56,0&lt;/coordinates&gt;&lt;/Point&gt;&lt;/Placemark&gt;</v>
      </c>
    </row>
    <row r="54" spans="1:6" x14ac:dyDescent="0.35">
      <c r="A54" s="1">
        <f>COUNTA(A$12:A53)-1</f>
        <v>41</v>
      </c>
      <c r="B54" s="3">
        <f t="shared" si="4"/>
        <v>-151.75</v>
      </c>
      <c r="C54" s="4">
        <f t="shared" si="0"/>
        <v>43.424975771513388</v>
      </c>
      <c r="D54" s="4">
        <f t="shared" si="1"/>
        <v>-0.13804019575022863</v>
      </c>
      <c r="E54" s="5">
        <f t="shared" si="2"/>
        <v>43.42</v>
      </c>
      <c r="F54" t="str">
        <f t="shared" si="3"/>
        <v>&lt;Placemark&gt;&lt;name&gt;43.42,-151.75&lt;/name&gt;&lt;Point&gt;&lt;coordinates&gt;-151.75,43.42,0&lt;/coordinates&gt;&lt;/Point&gt;&lt;/Placemark&gt;</v>
      </c>
    </row>
    <row r="55" spans="1:6" x14ac:dyDescent="0.35">
      <c r="A55" s="1">
        <f>COUNTA(A$12:A54)-1</f>
        <v>42</v>
      </c>
      <c r="B55" s="3">
        <f t="shared" si="4"/>
        <v>-151.5</v>
      </c>
      <c r="C55" s="4">
        <f t="shared" si="0"/>
        <v>43.285756053698627</v>
      </c>
      <c r="D55" s="4">
        <f t="shared" si="1"/>
        <v>-0.13921971781476117</v>
      </c>
      <c r="E55" s="5">
        <f t="shared" si="2"/>
        <v>43.29</v>
      </c>
      <c r="F55" t="str">
        <f t="shared" si="3"/>
        <v>&lt;Placemark&gt;&lt;name&gt;43.29,-151.5&lt;/name&gt;&lt;Point&gt;&lt;coordinates&gt;-151.5,43.29,0&lt;/coordinates&gt;&lt;/Point&gt;&lt;/Placemark&gt;</v>
      </c>
    </row>
    <row r="56" spans="1:6" x14ac:dyDescent="0.35">
      <c r="A56" s="1">
        <f>COUNTA(A$12:A55)-1</f>
        <v>43</v>
      </c>
      <c r="B56" s="3">
        <f t="shared" si="4"/>
        <v>-151.25</v>
      </c>
      <c r="C56" s="4">
        <f t="shared" si="0"/>
        <v>43.145349216410807</v>
      </c>
      <c r="D56" s="4">
        <f t="shared" si="1"/>
        <v>-0.14040683728782</v>
      </c>
      <c r="E56" s="5">
        <f t="shared" si="2"/>
        <v>43.15</v>
      </c>
      <c r="F56" t="str">
        <f t="shared" si="3"/>
        <v>&lt;Placemark&gt;&lt;name&gt;43.15,-151.25&lt;/name&gt;&lt;Point&gt;&lt;coordinates&gt;-151.25,43.15,0&lt;/coordinates&gt;&lt;/Point&gt;&lt;/Placemark&gt;</v>
      </c>
    </row>
    <row r="57" spans="1:6" x14ac:dyDescent="0.35">
      <c r="A57" s="1">
        <f>COUNTA(A$12:A56)-1</f>
        <v>44</v>
      </c>
      <c r="B57" s="3">
        <f t="shared" si="4"/>
        <v>-151</v>
      </c>
      <c r="C57" s="4">
        <f t="shared" si="0"/>
        <v>43.003747632870635</v>
      </c>
      <c r="D57" s="4">
        <f t="shared" si="1"/>
        <v>-0.14160158354017227</v>
      </c>
      <c r="E57" s="5">
        <f t="shared" si="2"/>
        <v>43</v>
      </c>
      <c r="F57" t="str">
        <f t="shared" si="3"/>
        <v>&lt;Placemark&gt;&lt;name&gt;43,-151&lt;/name&gt;&lt;Point&gt;&lt;coordinates&gt;-151,43,0&lt;/coordinates&gt;&lt;/Point&gt;&lt;/Placemark&gt;</v>
      </c>
    </row>
    <row r="58" spans="1:6" x14ac:dyDescent="0.35">
      <c r="A58" s="1">
        <f>COUNTA(A$12:A57)-1</f>
        <v>45</v>
      </c>
      <c r="B58" s="3">
        <f t="shared" si="4"/>
        <v>-150.75</v>
      </c>
      <c r="C58" s="4">
        <f t="shared" si="0"/>
        <v>42.860943648185227</v>
      </c>
      <c r="D58" s="4">
        <f t="shared" si="1"/>
        <v>-0.14280398468540767</v>
      </c>
      <c r="E58" s="5">
        <f t="shared" si="2"/>
        <v>42.86</v>
      </c>
      <c r="F58" t="str">
        <f t="shared" si="3"/>
        <v>&lt;Placemark&gt;&lt;name&gt;42.86,-150.75&lt;/name&gt;&lt;Point&gt;&lt;coordinates&gt;-150.75,42.86,0&lt;/coordinates&gt;&lt;/Point&gt;&lt;/Placemark&gt;</v>
      </c>
    </row>
    <row r="59" spans="1:6" x14ac:dyDescent="0.35">
      <c r="A59" s="1">
        <f>COUNTA(A$12:A58)-1</f>
        <v>46</v>
      </c>
      <c r="B59" s="3">
        <f t="shared" si="4"/>
        <v>-150.5</v>
      </c>
      <c r="C59" s="4">
        <f t="shared" si="0"/>
        <v>42.716929580656839</v>
      </c>
      <c r="D59" s="4">
        <f t="shared" si="1"/>
        <v>-0.14401406752838852</v>
      </c>
      <c r="E59" s="5">
        <f t="shared" si="2"/>
        <v>42.72</v>
      </c>
      <c r="F59" t="str">
        <f t="shared" si="3"/>
        <v>&lt;Placemark&gt;&lt;name&gt;42.72,-150.5&lt;/name&gt;&lt;Point&gt;&lt;coordinates&gt;-150.5,42.72,0&lt;/coordinates&gt;&lt;/Point&gt;&lt;/Placemark&gt;</v>
      </c>
    </row>
    <row r="60" spans="1:6" x14ac:dyDescent="0.35">
      <c r="A60" s="1">
        <f>COUNTA(A$12:A59)-1</f>
        <v>47</v>
      </c>
      <c r="B60" s="3">
        <f t="shared" si="4"/>
        <v>-150.25</v>
      </c>
      <c r="C60" s="4">
        <f t="shared" si="0"/>
        <v>42.571697723144638</v>
      </c>
      <c r="D60" s="4">
        <f t="shared" si="1"/>
        <v>-0.14523185751220069</v>
      </c>
      <c r="E60" s="5">
        <f t="shared" si="2"/>
        <v>42.57</v>
      </c>
      <c r="F60" t="str">
        <f t="shared" si="3"/>
        <v>&lt;Placemark&gt;&lt;name&gt;42.57,-150.25&lt;/name&gt;&lt;Point&gt;&lt;coordinates&gt;-150.25,42.57,0&lt;/coordinates&gt;&lt;/Point&gt;&lt;/Placemark&gt;</v>
      </c>
    </row>
    <row r="61" spans="1:6" x14ac:dyDescent="0.35">
      <c r="A61" s="1">
        <f>COUNTA(A$12:A60)-1</f>
        <v>48</v>
      </c>
      <c r="B61" s="3">
        <f t="shared" si="4"/>
        <v>-150</v>
      </c>
      <c r="C61" s="4">
        <f t="shared" si="0"/>
        <v>42.425240344480585</v>
      </c>
      <c r="D61" s="4">
        <f t="shared" si="1"/>
        <v>-0.14645737866405284</v>
      </c>
      <c r="E61" s="5">
        <f t="shared" si="2"/>
        <v>42.43</v>
      </c>
      <c r="F61" t="str">
        <f t="shared" si="3"/>
        <v>&lt;Placemark&gt;&lt;name&gt;42.43,-150&lt;/name&gt;&lt;Point&gt;&lt;coordinates&gt;-150,42.43,0&lt;/coordinates&gt;&lt;/Point&gt;&lt;/Placemark&gt;</v>
      </c>
    </row>
    <row r="62" spans="1:6" x14ac:dyDescent="0.35">
      <c r="A62" s="1">
        <f>COUNTA(A$12:A61)-1</f>
        <v>49</v>
      </c>
      <c r="B62" s="3">
        <f t="shared" si="4"/>
        <v>-149.75</v>
      </c>
      <c r="C62" s="4">
        <f t="shared" si="0"/>
        <v>42.277549690940916</v>
      </c>
      <c r="D62" s="4">
        <f t="shared" si="1"/>
        <v>-0.14769065353966937</v>
      </c>
      <c r="E62" s="5">
        <f t="shared" si="2"/>
        <v>42.28</v>
      </c>
      <c r="F62" t="str">
        <f t="shared" si="3"/>
        <v>&lt;Placemark&gt;&lt;name&gt;42.28,-149.75&lt;/name&gt;&lt;Point&gt;&lt;coordinates&gt;-149.75,42.28,0&lt;/coordinates&gt;&lt;/Point&gt;&lt;/Placemark&gt;</v>
      </c>
    </row>
    <row r="63" spans="1:6" x14ac:dyDescent="0.35">
      <c r="A63" s="1">
        <f>COUNTA(A$12:A62)-1</f>
        <v>50</v>
      </c>
      <c r="B63" s="3">
        <f t="shared" si="4"/>
        <v>-149.5</v>
      </c>
      <c r="C63" s="4">
        <f t="shared" si="0"/>
        <v>42.128617987774618</v>
      </c>
      <c r="D63" s="4">
        <f t="shared" si="1"/>
        <v>-0.14893170316629778</v>
      </c>
      <c r="E63" s="5">
        <f t="shared" si="2"/>
        <v>42.13</v>
      </c>
      <c r="F63" t="str">
        <f t="shared" si="3"/>
        <v>&lt;Placemark&gt;&lt;name&gt;42.13,-149.5&lt;/name&gt;&lt;Point&gt;&lt;coordinates&gt;-149.5,42.13,0&lt;/coordinates&gt;&lt;/Point&gt;&lt;/Placemark&gt;</v>
      </c>
    </row>
    <row r="64" spans="1:6" x14ac:dyDescent="0.35">
      <c r="A64" s="1">
        <f>COUNTA(A$12:A63)-1</f>
        <v>51</v>
      </c>
      <c r="B64" s="3">
        <f t="shared" si="4"/>
        <v>-149.25</v>
      </c>
      <c r="C64" s="4">
        <f t="shared" si="0"/>
        <v>41.978437440790131</v>
      </c>
      <c r="D64" s="4">
        <f t="shared" si="1"/>
        <v>-0.1501805469844868</v>
      </c>
      <c r="E64" s="5">
        <f t="shared" si="2"/>
        <v>41.98</v>
      </c>
      <c r="F64" t="str">
        <f t="shared" si="3"/>
        <v>&lt;Placemark&gt;&lt;name&gt;41.98,-149.25&lt;/name&gt;&lt;Point&gt;&lt;coordinates&gt;-149.25,41.98,0&lt;/coordinates&gt;&lt;/Point&gt;&lt;/Placemark&gt;</v>
      </c>
    </row>
    <row r="65" spans="1:6" x14ac:dyDescent="0.35">
      <c r="A65" s="1">
        <f>COUNTA(A$12:A64)-1</f>
        <v>52</v>
      </c>
      <c r="B65" s="3">
        <f t="shared" si="4"/>
        <v>-149</v>
      </c>
      <c r="C65" s="4">
        <f t="shared" si="0"/>
        <v>41.827000238001816</v>
      </c>
      <c r="D65" s="4">
        <f t="shared" si="1"/>
        <v>-0.15143720278831552</v>
      </c>
      <c r="E65" s="5">
        <f t="shared" si="2"/>
        <v>41.83</v>
      </c>
      <c r="F65" t="str">
        <f t="shared" si="3"/>
        <v>&lt;Placemark&gt;&lt;name&gt;41.83,-149&lt;/name&gt;&lt;Point&gt;&lt;coordinates&gt;-149,41.83,0&lt;/coordinates&gt;&lt;/Point&gt;&lt;/Placemark&gt;</v>
      </c>
    </row>
    <row r="66" spans="1:6" x14ac:dyDescent="0.35">
      <c r="A66" s="1">
        <f>COUNTA(A$12:A65)-1</f>
        <v>53</v>
      </c>
      <c r="B66" s="3">
        <f t="shared" si="4"/>
        <v>-148.75</v>
      </c>
      <c r="C66" s="4">
        <f t="shared" si="0"/>
        <v>41.674298551337429</v>
      </c>
      <c r="D66" s="4">
        <f t="shared" si="1"/>
        <v>-0.15270168666438622</v>
      </c>
      <c r="E66" s="5">
        <f t="shared" si="2"/>
        <v>41.67</v>
      </c>
      <c r="F66" t="str">
        <f t="shared" si="3"/>
        <v>&lt;Placemark&gt;&lt;name&gt;41.67,-148.75&lt;/name&gt;&lt;Point&gt;&lt;coordinates&gt;-148.75,41.67,0&lt;/coordinates&gt;&lt;/Point&gt;&lt;/Placemark&gt;</v>
      </c>
    </row>
    <row r="67" spans="1:6" x14ac:dyDescent="0.35">
      <c r="A67" s="1">
        <f>COUNTA(A$12:A66)-1</f>
        <v>54</v>
      </c>
      <c r="B67" s="3">
        <f t="shared" si="4"/>
        <v>-148.5</v>
      </c>
      <c r="C67" s="4">
        <f t="shared" si="0"/>
        <v>41.520324538408069</v>
      </c>
      <c r="D67" s="4">
        <f t="shared" si="1"/>
        <v>-0.15397401292936053</v>
      </c>
      <c r="E67" s="5">
        <f t="shared" si="2"/>
        <v>41.52</v>
      </c>
      <c r="F67" t="str">
        <f t="shared" si="3"/>
        <v>&lt;Placemark&gt;&lt;name&gt;41.52,-148.5&lt;/name&gt;&lt;Point&gt;&lt;coordinates&gt;-148.5,41.52,0&lt;/coordinates&gt;&lt;/Point&gt;&lt;/Placemark&gt;</v>
      </c>
    </row>
    <row r="68" spans="1:6" x14ac:dyDescent="0.35">
      <c r="A68" s="1">
        <f>COUNTA(A$12:A67)-1</f>
        <v>55</v>
      </c>
      <c r="B68" s="3">
        <f t="shared" si="4"/>
        <v>-148.25</v>
      </c>
      <c r="C68" s="4">
        <f t="shared" si="0"/>
        <v>41.365070344342143</v>
      </c>
      <c r="D68" s="4">
        <f t="shared" si="1"/>
        <v>-0.15525419406592533</v>
      </c>
      <c r="E68" s="5">
        <f t="shared" si="2"/>
        <v>41.37</v>
      </c>
      <c r="F68" t="str">
        <f t="shared" si="3"/>
        <v>&lt;Placemark&gt;&lt;name&gt;41.37,-148.25&lt;/name&gt;&lt;Point&gt;&lt;coordinates&gt;-148.25,41.37,0&lt;/coordinates&gt;&lt;/Point&gt;&lt;/Placemark&gt;</v>
      </c>
    </row>
    <row r="69" spans="1:6" x14ac:dyDescent="0.35">
      <c r="A69" s="1">
        <f>COUNTA(A$12:A68)-1</f>
        <v>56</v>
      </c>
      <c r="B69" s="3">
        <f t="shared" si="4"/>
        <v>-148</v>
      </c>
      <c r="C69" s="4">
        <f t="shared" si="0"/>
        <v>41.208528103684436</v>
      </c>
      <c r="D69" s="4">
        <f t="shared" si="1"/>
        <v>-0.15654224065770705</v>
      </c>
      <c r="E69" s="5">
        <f t="shared" si="2"/>
        <v>41.21</v>
      </c>
      <c r="F69" t="str">
        <f t="shared" si="3"/>
        <v>&lt;Placemark&gt;&lt;name&gt;41.21,-148&lt;/name&gt;&lt;Point&gt;&lt;coordinates&gt;-148,41.21,0&lt;/coordinates&gt;&lt;/Point&gt;&lt;/Placemark&gt;</v>
      </c>
    </row>
    <row r="70" spans="1:6" x14ac:dyDescent="0.35">
      <c r="A70" s="1">
        <f>COUNTA(A$12:A69)-1</f>
        <v>57</v>
      </c>
      <c r="B70" s="3">
        <f t="shared" si="4"/>
        <v>-147.75</v>
      </c>
      <c r="C70" s="4">
        <f t="shared" si="0"/>
        <v>41.050689942362261</v>
      </c>
      <c r="D70" s="4">
        <f t="shared" si="1"/>
        <v>-0.1578381613221751</v>
      </c>
      <c r="E70" s="5">
        <f t="shared" si="2"/>
        <v>41.05</v>
      </c>
      <c r="F70" t="str">
        <f t="shared" si="3"/>
        <v>&lt;Placemark&gt;&lt;name&gt;41.05,-147.75&lt;/name&gt;&lt;Point&gt;&lt;coordinates&gt;-147.75,41.05,0&lt;/coordinates&gt;&lt;/Point&gt;&lt;/Placemark&gt;</v>
      </c>
    </row>
    <row r="71" spans="1:6" x14ac:dyDescent="0.35">
      <c r="A71" s="1">
        <f>COUNTA(A$12:A70)-1</f>
        <v>58</v>
      </c>
      <c r="B71" s="3">
        <f t="shared" si="4"/>
        <v>-147.5</v>
      </c>
      <c r="C71" s="4">
        <f t="shared" si="0"/>
        <v>40.891547979719455</v>
      </c>
      <c r="D71" s="4">
        <f t="shared" si="1"/>
        <v>-0.15914196264280633</v>
      </c>
      <c r="E71" s="5">
        <f t="shared" si="2"/>
        <v>40.89</v>
      </c>
      <c r="F71" t="str">
        <f t="shared" si="3"/>
        <v>&lt;Placemark&gt;&lt;name&gt;40.89,-147.5&lt;/name&gt;&lt;Point&gt;&lt;coordinates&gt;-147.5,40.89,0&lt;/coordinates&gt;&lt;/Point&gt;&lt;/Placemark&gt;</v>
      </c>
    </row>
    <row r="72" spans="1:6" x14ac:dyDescent="0.35">
      <c r="A72" s="1">
        <f>COUNTA(A$12:A71)-1</f>
        <v>59</v>
      </c>
      <c r="B72" s="3">
        <f t="shared" si="4"/>
        <v>-147.25</v>
      </c>
      <c r="C72" s="4">
        <f t="shared" si="0"/>
        <v>40.731094330620273</v>
      </c>
      <c r="D72" s="4">
        <f t="shared" si="1"/>
        <v>-0.16045364909918192</v>
      </c>
      <c r="E72" s="5">
        <f t="shared" si="2"/>
        <v>40.729999999999997</v>
      </c>
      <c r="F72" t="str">
        <f t="shared" si="3"/>
        <v>&lt;Placemark&gt;&lt;name&gt;40.73,-147.25&lt;/name&gt;&lt;Point&gt;&lt;coordinates&gt;-147.25,40.73,0&lt;/coordinates&gt;&lt;/Point&gt;&lt;/Placemark&gt;</v>
      </c>
    </row>
    <row r="73" spans="1:6" x14ac:dyDescent="0.35">
      <c r="A73" s="1">
        <f>COUNTA(A$12:A72)-1</f>
        <v>60</v>
      </c>
      <c r="B73" s="3">
        <f t="shared" si="4"/>
        <v>-147</v>
      </c>
      <c r="C73" s="4">
        <f t="shared" si="0"/>
        <v>40.569321107624226</v>
      </c>
      <c r="D73" s="4">
        <f t="shared" si="1"/>
        <v>-0.16177322299604668</v>
      </c>
      <c r="E73" s="5">
        <f t="shared" si="2"/>
        <v>40.57</v>
      </c>
      <c r="F73" t="str">
        <f t="shared" si="3"/>
        <v>&lt;Placemark&gt;&lt;name&gt;40.57,-147&lt;/name&gt;&lt;Point&gt;&lt;coordinates&gt;-147,40.57,0&lt;/coordinates&gt;&lt;/Point&gt;&lt;/Placemark&gt;</v>
      </c>
    </row>
    <row r="74" spans="1:6" x14ac:dyDescent="0.35">
      <c r="A74" s="1">
        <f>COUNTA(A$12:A73)-1</f>
        <v>61</v>
      </c>
      <c r="B74" s="3">
        <f t="shared" si="4"/>
        <v>-146.75</v>
      </c>
      <c r="C74" s="4">
        <f t="shared" si="0"/>
        <v>40.406220423233577</v>
      </c>
      <c r="D74" s="4">
        <f t="shared" si="1"/>
        <v>-0.16310068439064906</v>
      </c>
      <c r="E74" s="5">
        <f t="shared" si="2"/>
        <v>40.409999999999997</v>
      </c>
      <c r="F74" t="str">
        <f t="shared" si="3"/>
        <v>&lt;Placemark&gt;&lt;name&gt;40.41,-146.75&lt;/name&gt;&lt;Point&gt;&lt;coordinates&gt;-146.75,40.41,0&lt;/coordinates&gt;&lt;/Point&gt;&lt;/Placemark&gt;</v>
      </c>
    </row>
    <row r="75" spans="1:6" x14ac:dyDescent="0.35">
      <c r="A75" s="1">
        <f>COUNTA(A$12:A74)-1</f>
        <v>62</v>
      </c>
      <c r="B75" s="3">
        <f t="shared" si="4"/>
        <v>-146.5</v>
      </c>
      <c r="C75" s="4">
        <f t="shared" si="0"/>
        <v>40.241784392214612</v>
      </c>
      <c r="D75" s="4">
        <f t="shared" si="1"/>
        <v>-0.16443603101896542</v>
      </c>
      <c r="E75" s="5">
        <f t="shared" si="2"/>
        <v>40.24</v>
      </c>
      <c r="F75" t="str">
        <f t="shared" si="3"/>
        <v>&lt;Placemark&gt;&lt;name&gt;40.24,-146.5&lt;/name&gt;&lt;Point&gt;&lt;coordinates&gt;-146.5,40.24,0&lt;/coordinates&gt;&lt;/Point&gt;&lt;/Placemark&gt;</v>
      </c>
    </row>
    <row r="76" spans="1:6" x14ac:dyDescent="0.35">
      <c r="A76" s="1">
        <f>COUNTA(A$12:A75)-1</f>
        <v>63</v>
      </c>
      <c r="B76" s="3">
        <f t="shared" si="4"/>
        <v>-146.25</v>
      </c>
      <c r="C76" s="4">
        <f t="shared" si="0"/>
        <v>40.076005133994684</v>
      </c>
      <c r="D76" s="4">
        <f t="shared" si="1"/>
        <v>-0.16577925821992778</v>
      </c>
      <c r="E76" s="5">
        <f t="shared" si="2"/>
        <v>40.08</v>
      </c>
      <c r="F76" t="str">
        <f t="shared" si="3"/>
        <v>&lt;Placemark&gt;&lt;name&gt;40.08,-146.25&lt;/name&gt;&lt;Point&gt;&lt;coordinates&gt;-146.25,40.08,0&lt;/coordinates&gt;&lt;/Point&gt;&lt;/Placemark&gt;</v>
      </c>
    </row>
    <row r="77" spans="1:6" x14ac:dyDescent="0.35">
      <c r="A77" s="1">
        <f>COUNTA(A$12:A76)-1</f>
        <v>64</v>
      </c>
      <c r="B77" s="3">
        <f t="shared" si="4"/>
        <v>-146</v>
      </c>
      <c r="C77" s="4">
        <f t="shared" ref="C77:C99" si="5">DEGREES(ATAN($B$7 * SIN(RADIANS(B77)) + $B$8 * COS(RADIANS(B77))))</f>
        <v>39.908874775135736</v>
      </c>
      <c r="D77" s="4">
        <f t="shared" ref="D77:D99" si="6">IF(C76="Lat","",C77-C76)</f>
        <v>-0.16713035885894811</v>
      </c>
      <c r="E77" s="5">
        <f t="shared" ref="E77:E99" si="7">ROUND(C77,2)</f>
        <v>39.909999999999997</v>
      </c>
      <c r="F77" t="str">
        <f t="shared" ref="F77:F99" si="8">"&lt;Placemark&gt;&lt;name&gt;"&amp;E77&amp;","&amp;B77&amp;"&lt;/name&gt;&lt;Point&gt;&lt;coordinates&gt;"&amp;B77&amp;","&amp;E77&amp;",0&lt;/coordinates&gt;&lt;/Point&gt;&lt;/Placemark&gt;"</f>
        <v>&lt;Placemark&gt;&lt;name&gt;39.91,-146&lt;/name&gt;&lt;Point&gt;&lt;coordinates&gt;-146,39.91,0&lt;/coordinates&gt;&lt;/Point&gt;&lt;/Placemark&gt;</v>
      </c>
    </row>
    <row r="78" spans="1:6" x14ac:dyDescent="0.35">
      <c r="A78" s="1">
        <f>COUNTA(A$12:A77)-1</f>
        <v>65</v>
      </c>
      <c r="B78" s="3">
        <f t="shared" si="4"/>
        <v>-145.75</v>
      </c>
      <c r="C78" s="4">
        <f t="shared" si="5"/>
        <v>39.740385451886524</v>
      </c>
      <c r="D78" s="4">
        <f t="shared" si="6"/>
        <v>-0.16848932324921151</v>
      </c>
      <c r="E78" s="5">
        <f t="shared" si="7"/>
        <v>39.74</v>
      </c>
      <c r="F78" t="str">
        <f t="shared" si="8"/>
        <v>&lt;Placemark&gt;&lt;name&gt;39.74,-145.75&lt;/name&gt;&lt;Point&gt;&lt;coordinates&gt;-145.75,39.74,0&lt;/coordinates&gt;&lt;/Point&gt;&lt;/Placemark&gt;</v>
      </c>
    </row>
    <row r="79" spans="1:6" x14ac:dyDescent="0.35">
      <c r="A79" s="1">
        <f>COUNTA(A$12:A78)-1</f>
        <v>66</v>
      </c>
      <c r="B79" s="3">
        <f t="shared" ref="B79:B142" si="9">IF(B78&gt;=180,ROUND(B78,2)+0.25-360,ROUND(B78,2)+0.25)</f>
        <v>-145.5</v>
      </c>
      <c r="C79" s="4">
        <f t="shared" si="5"/>
        <v>39.570529312814294</v>
      </c>
      <c r="D79" s="4">
        <f t="shared" si="6"/>
        <v>-0.16985613907223041</v>
      </c>
      <c r="E79" s="5">
        <f t="shared" si="7"/>
        <v>39.57</v>
      </c>
      <c r="F79" t="str">
        <f t="shared" si="8"/>
        <v>&lt;Placemark&gt;&lt;name&gt;39.57,-145.5&lt;/name&gt;&lt;Point&gt;&lt;coordinates&gt;-145.5,39.57,0&lt;/coordinates&gt;&lt;/Point&gt;&lt;/Placemark&gt;</v>
      </c>
    </row>
    <row r="80" spans="1:6" x14ac:dyDescent="0.35">
      <c r="A80" s="1">
        <f>COUNTA(A$12:A79)-1</f>
        <v>67</v>
      </c>
      <c r="B80" s="3">
        <f t="shared" si="9"/>
        <v>-145.25</v>
      </c>
      <c r="C80" s="4">
        <f t="shared" si="5"/>
        <v>39.399298521517743</v>
      </c>
      <c r="D80" s="4">
        <f t="shared" si="6"/>
        <v>-0.17123079129655139</v>
      </c>
      <c r="E80" s="5">
        <f t="shared" si="7"/>
        <v>39.4</v>
      </c>
      <c r="F80" t="str">
        <f t="shared" si="8"/>
        <v>&lt;Placemark&gt;&lt;name&gt;39.4,-145.25&lt;/name&gt;&lt;Point&gt;&lt;coordinates&gt;-145.25,39.4,0&lt;/coordinates&gt;&lt;/Point&gt;&lt;/Placemark&gt;</v>
      </c>
    </row>
    <row r="81" spans="1:6" x14ac:dyDescent="0.35">
      <c r="A81" s="1">
        <f>COUNTA(A$12:A80)-1</f>
        <v>68</v>
      </c>
      <c r="B81" s="3">
        <f t="shared" si="9"/>
        <v>-145</v>
      </c>
      <c r="C81" s="4">
        <f t="shared" si="5"/>
        <v>39.226685259422631</v>
      </c>
      <c r="D81" s="4">
        <f t="shared" si="6"/>
        <v>-0.17261326209511196</v>
      </c>
      <c r="E81" s="5">
        <f t="shared" si="7"/>
        <v>39.229999999999997</v>
      </c>
      <c r="F81" t="str">
        <f t="shared" si="8"/>
        <v>&lt;Placemark&gt;&lt;name&gt;39.23,-145&lt;/name&gt;&lt;Point&gt;&lt;coordinates&gt;-145,39.23,0&lt;/coordinates&gt;&lt;/Point&gt;&lt;/Placemark&gt;</v>
      </c>
    </row>
    <row r="82" spans="1:6" x14ac:dyDescent="0.35">
      <c r="A82" s="1">
        <f>COUNTA(A$12:A81)-1</f>
        <v>69</v>
      </c>
      <c r="B82" s="3">
        <f t="shared" si="9"/>
        <v>-144.75</v>
      </c>
      <c r="C82" s="4">
        <f t="shared" si="5"/>
        <v>39.052681728661192</v>
      </c>
      <c r="D82" s="4">
        <f t="shared" si="6"/>
        <v>-0.17400353076143915</v>
      </c>
      <c r="E82" s="5">
        <f t="shared" si="7"/>
        <v>39.049999999999997</v>
      </c>
      <c r="F82" t="str">
        <f t="shared" si="8"/>
        <v>&lt;Placemark&gt;&lt;name&gt;39.05,-144.75&lt;/name&gt;&lt;Point&gt;&lt;coordinates&gt;-144.75,39.05,0&lt;/coordinates&gt;&lt;/Point&gt;&lt;/Placemark&gt;</v>
      </c>
    </row>
    <row r="83" spans="1:6" x14ac:dyDescent="0.35">
      <c r="A83" s="1">
        <f>COUNTA(A$12:A82)-1</f>
        <v>70</v>
      </c>
      <c r="B83" s="3">
        <f t="shared" si="9"/>
        <v>-144.5</v>
      </c>
      <c r="C83" s="4">
        <f t="shared" si="5"/>
        <v>38.877280155037077</v>
      </c>
      <c r="D83" s="4">
        <f t="shared" si="6"/>
        <v>-0.17540157362411435</v>
      </c>
      <c r="E83" s="5">
        <f t="shared" si="7"/>
        <v>38.880000000000003</v>
      </c>
      <c r="F83" t="str">
        <f t="shared" si="8"/>
        <v>&lt;Placemark&gt;&lt;name&gt;38.88,-144.5&lt;/name&gt;&lt;Point&gt;&lt;coordinates&gt;-144.5,38.88,0&lt;/coordinates&gt;&lt;/Point&gt;&lt;/Placemark&gt;</v>
      </c>
    </row>
    <row r="84" spans="1:6" x14ac:dyDescent="0.35">
      <c r="A84" s="1">
        <f>COUNTA(A$12:A83)-1</f>
        <v>71</v>
      </c>
      <c r="B84" s="3">
        <f t="shared" si="9"/>
        <v>-144.25</v>
      </c>
      <c r="C84" s="4">
        <f t="shared" si="5"/>
        <v>38.700472791076869</v>
      </c>
      <c r="D84" s="4">
        <f t="shared" si="6"/>
        <v>-0.17680736396020791</v>
      </c>
      <c r="E84" s="5">
        <f t="shared" si="7"/>
        <v>38.700000000000003</v>
      </c>
      <c r="F84" t="str">
        <f t="shared" si="8"/>
        <v>&lt;Placemark&gt;&lt;name&gt;38.7,-144.25&lt;/name&gt;&lt;Point&gt;&lt;coordinates&gt;-144.25,38.7,0&lt;/coordinates&gt;&lt;/Point&gt;&lt;/Placemark&gt;</v>
      </c>
    </row>
    <row r="85" spans="1:6" x14ac:dyDescent="0.35">
      <c r="A85" s="1">
        <f>COUNTA(A$12:A84)-1</f>
        <v>72</v>
      </c>
      <c r="B85" s="3">
        <f t="shared" si="9"/>
        <v>-144</v>
      </c>
      <c r="C85" s="4">
        <f t="shared" si="5"/>
        <v>38.522251919169619</v>
      </c>
      <c r="D85" s="4">
        <f t="shared" si="6"/>
        <v>-0.17822087190725</v>
      </c>
      <c r="E85" s="5">
        <f t="shared" si="7"/>
        <v>38.520000000000003</v>
      </c>
      <c r="F85" t="str">
        <f t="shared" si="8"/>
        <v>&lt;Placemark&gt;&lt;name&gt;38.52,-144&lt;/name&gt;&lt;Point&gt;&lt;coordinates&gt;-144,38.52,0&lt;/coordinates&gt;&lt;/Point&gt;&lt;/Placemark&gt;</v>
      </c>
    </row>
    <row r="86" spans="1:6" x14ac:dyDescent="0.35">
      <c r="A86" s="1">
        <f>COUNTA(A$12:A85)-1</f>
        <v>73</v>
      </c>
      <c r="B86" s="3">
        <f t="shared" si="9"/>
        <v>-143.75</v>
      </c>
      <c r="C86" s="4">
        <f t="shared" ref="C86:C148" si="10">DEGREES(ATAN($B$7 * SIN(RADIANS(B86)) + $B$8 * COS(RADIANS(B86))))</f>
        <v>38.342609854795846</v>
      </c>
      <c r="D86" s="4">
        <f t="shared" ref="D86:D148" si="11">IF(C85="Lat","",C86-C85)</f>
        <v>-0.17964206437377328</v>
      </c>
      <c r="E86" s="5">
        <f t="shared" ref="E86:E148" si="12">ROUND(C86,2)</f>
        <v>38.340000000000003</v>
      </c>
      <c r="F86" t="str">
        <f t="shared" ref="F86:F148" si="13">"&lt;Placemark&gt;&lt;name&gt;"&amp;E86&amp;","&amp;B86&amp;"&lt;/name&gt;&lt;Point&gt;&lt;coordinates&gt;"&amp;B86&amp;","&amp;E86&amp;",0&lt;/coordinates&gt;&lt;/Point&gt;&lt;/Placemark&gt;"</f>
        <v>&lt;Placemark&gt;&lt;name&gt;38.34,-143.75&lt;/name&gt;&lt;Point&gt;&lt;coordinates&gt;-143.75,38.34,0&lt;/coordinates&gt;&lt;/Point&gt;&lt;/Placemark&gt;</v>
      </c>
    </row>
    <row r="87" spans="1:6" x14ac:dyDescent="0.35">
      <c r="A87" s="1">
        <f>COUNTA(A$12:A86)-1</f>
        <v>74</v>
      </c>
      <c r="B87" s="3">
        <f t="shared" si="9"/>
        <v>-143.5</v>
      </c>
      <c r="C87" s="4">
        <f t="shared" si="10"/>
        <v>38.161538949846964</v>
      </c>
      <c r="D87" s="4">
        <f t="shared" si="11"/>
        <v>-0.18107090494888212</v>
      </c>
      <c r="E87" s="5">
        <f t="shared" si="12"/>
        <v>38.159999999999997</v>
      </c>
      <c r="F87" t="str">
        <f t="shared" si="13"/>
        <v>&lt;Placemark&gt;&lt;name&gt;38.16,-143.5&lt;/name&gt;&lt;Point&gt;&lt;coordinates&gt;-143.5,38.16,0&lt;/coordinates&gt;&lt;/Point&gt;&lt;/Placemark&gt;</v>
      </c>
    </row>
    <row r="88" spans="1:6" x14ac:dyDescent="0.35">
      <c r="A88" s="1">
        <f>COUNTA(A$12:A87)-1</f>
        <v>75</v>
      </c>
      <c r="B88" s="3">
        <f t="shared" si="9"/>
        <v>-143.25</v>
      </c>
      <c r="C88" s="4">
        <f t="shared" si="10"/>
        <v>37.979031596036812</v>
      </c>
      <c r="D88" s="4">
        <f t="shared" si="11"/>
        <v>-0.18250735381015204</v>
      </c>
      <c r="E88" s="5">
        <f t="shared" si="12"/>
        <v>37.979999999999997</v>
      </c>
      <c r="F88" t="str">
        <f t="shared" si="13"/>
        <v>&lt;Placemark&gt;&lt;name&gt;37.98,-143.25&lt;/name&gt;&lt;Point&gt;&lt;coordinates&gt;-143.25,37.98,0&lt;/coordinates&gt;&lt;/Point&gt;&lt;/Placemark&gt;</v>
      </c>
    </row>
    <row r="89" spans="1:6" x14ac:dyDescent="0.35">
      <c r="A89" s="1">
        <f>COUNTA(A$12:A88)-1</f>
        <v>76</v>
      </c>
      <c r="B89" s="3">
        <f t="shared" si="9"/>
        <v>-143</v>
      </c>
      <c r="C89" s="4">
        <f t="shared" si="10"/>
        <v>37.795080228406015</v>
      </c>
      <c r="D89" s="4">
        <f t="shared" si="11"/>
        <v>-0.18395136763079734</v>
      </c>
      <c r="E89" s="5">
        <f t="shared" si="12"/>
        <v>37.799999999999997</v>
      </c>
      <c r="F89" t="str">
        <f t="shared" si="13"/>
        <v>&lt;Placemark&gt;&lt;name&gt;37.8,-143&lt;/name&gt;&lt;Point&gt;&lt;coordinates&gt;-143,37.8,0&lt;/coordinates&gt;&lt;/Point&gt;&lt;/Placemark&gt;</v>
      </c>
    </row>
    <row r="90" spans="1:6" x14ac:dyDescent="0.35">
      <c r="A90" s="1">
        <f>COUNTA(A$12:A89)-1</f>
        <v>77</v>
      </c>
      <c r="B90" s="3">
        <f t="shared" si="9"/>
        <v>-142.75</v>
      </c>
      <c r="C90" s="4">
        <f t="shared" si="10"/>
        <v>37.609677328920561</v>
      </c>
      <c r="D90" s="4">
        <f t="shared" si="11"/>
        <v>-0.18540289948545308</v>
      </c>
      <c r="E90" s="5">
        <f t="shared" si="12"/>
        <v>37.61</v>
      </c>
      <c r="F90" t="str">
        <f t="shared" si="13"/>
        <v>&lt;Placemark&gt;&lt;name&gt;37.61,-142.75&lt;/name&gt;&lt;Point&gt;&lt;coordinates&gt;-142.75,37.61,0&lt;/coordinates&gt;&lt;/Point&gt;&lt;/Placemark&gt;</v>
      </c>
    </row>
    <row r="91" spans="1:6" x14ac:dyDescent="0.35">
      <c r="A91" s="1">
        <f>COUNTA(A$12:A90)-1</f>
        <v>78</v>
      </c>
      <c r="B91" s="3">
        <f t="shared" si="9"/>
        <v>-142.5</v>
      </c>
      <c r="C91" s="4">
        <f t="shared" si="10"/>
        <v>37.422815430166025</v>
      </c>
      <c r="D91" s="4">
        <f t="shared" si="11"/>
        <v>-0.18686189875453607</v>
      </c>
      <c r="E91" s="5">
        <f t="shared" si="12"/>
        <v>37.42</v>
      </c>
      <c r="F91" t="str">
        <f t="shared" si="13"/>
        <v>&lt;Placemark&gt;&lt;name&gt;37.42,-142.5&lt;/name&gt;&lt;Point&gt;&lt;coordinates&gt;-142.5,37.42,0&lt;/coordinates&gt;&lt;/Point&gt;&lt;/Placemark&gt;</v>
      </c>
    </row>
    <row r="92" spans="1:6" x14ac:dyDescent="0.35">
      <c r="A92" s="1">
        <f>COUNTA(A$12:A91)-1</f>
        <v>79</v>
      </c>
      <c r="B92" s="3">
        <f t="shared" si="9"/>
        <v>-142.25</v>
      </c>
      <c r="C92" s="4">
        <f t="shared" si="10"/>
        <v>37.234487119137825</v>
      </c>
      <c r="D92" s="4">
        <f t="shared" si="11"/>
        <v>-0.1883283110282008</v>
      </c>
      <c r="E92" s="5">
        <f t="shared" si="12"/>
        <v>37.229999999999997</v>
      </c>
      <c r="F92" t="str">
        <f t="shared" si="13"/>
        <v>&lt;Placemark&gt;&lt;name&gt;37.23,-142.25&lt;/name&gt;&lt;Point&gt;&lt;coordinates&gt;-142.25,37.23,0&lt;/coordinates&gt;&lt;/Point&gt;&lt;/Placemark&gt;</v>
      </c>
    </row>
    <row r="93" spans="1:6" x14ac:dyDescent="0.35">
      <c r="A93" s="1">
        <f>COUNTA(A$12:A92)-1</f>
        <v>80</v>
      </c>
      <c r="B93" s="3">
        <f t="shared" si="9"/>
        <v>-142</v>
      </c>
      <c r="C93" s="4">
        <f t="shared" si="10"/>
        <v>37.044685041129171</v>
      </c>
      <c r="D93" s="4">
        <f t="shared" si="11"/>
        <v>-0.18980207800865401</v>
      </c>
      <c r="E93" s="5">
        <f t="shared" si="12"/>
        <v>37.04</v>
      </c>
      <c r="F93" t="str">
        <f t="shared" si="13"/>
        <v>&lt;Placemark&gt;&lt;name&gt;37.04,-142&lt;/name&gt;&lt;Point&gt;&lt;coordinates&gt;-142,37.04,0&lt;/coordinates&gt;&lt;/Point&gt;&lt;/Placemark&gt;</v>
      </c>
    </row>
    <row r="94" spans="1:6" x14ac:dyDescent="0.35">
      <c r="A94" s="1">
        <f>COUNTA(A$12:A93)-1</f>
        <v>81</v>
      </c>
      <c r="B94" s="3">
        <f t="shared" si="9"/>
        <v>-141.75</v>
      </c>
      <c r="C94" s="4">
        <f t="shared" si="10"/>
        <v>36.853401903717369</v>
      </c>
      <c r="D94" s="4">
        <f t="shared" si="11"/>
        <v>-0.19128313741180136</v>
      </c>
      <c r="E94" s="5">
        <f t="shared" si="12"/>
        <v>36.85</v>
      </c>
      <c r="F94" t="str">
        <f t="shared" si="13"/>
        <v>&lt;Placemark&gt;&lt;name&gt;36.85,-141.75&lt;/name&gt;&lt;Point&gt;&lt;coordinates&gt;-141.75,36.85,0&lt;/coordinates&gt;&lt;/Point&gt;&lt;/Placemark&gt;</v>
      </c>
    </row>
    <row r="95" spans="1:6" x14ac:dyDescent="0.35">
      <c r="A95" s="1">
        <f>COUNTA(A$12:A94)-1</f>
        <v>82</v>
      </c>
      <c r="B95" s="3">
        <f t="shared" si="9"/>
        <v>-141.5</v>
      </c>
      <c r="C95" s="4">
        <f t="shared" si="10"/>
        <v>36.660630480849285</v>
      </c>
      <c r="D95" s="4">
        <f t="shared" si="11"/>
        <v>-0.19277142286808413</v>
      </c>
      <c r="E95" s="5">
        <f t="shared" si="12"/>
        <v>36.659999999999997</v>
      </c>
      <c r="F95" t="str">
        <f t="shared" si="13"/>
        <v>&lt;Placemark&gt;&lt;name&gt;36.66,-141.5&lt;/name&gt;&lt;Point&gt;&lt;coordinates&gt;-141.5,36.66,0&lt;/coordinates&gt;&lt;/Point&gt;&lt;/Placemark&gt;</v>
      </c>
    </row>
    <row r="96" spans="1:6" x14ac:dyDescent="0.35">
      <c r="A96" s="1">
        <f>COUNTA(A$12:A95)-1</f>
        <v>83</v>
      </c>
      <c r="B96" s="3">
        <f t="shared" si="9"/>
        <v>-141.25</v>
      </c>
      <c r="C96" s="4">
        <f t="shared" si="10"/>
        <v>36.466363617027262</v>
      </c>
      <c r="D96" s="4">
        <f t="shared" si="11"/>
        <v>-0.19426686382202263</v>
      </c>
      <c r="E96" s="5">
        <f t="shared" si="12"/>
        <v>36.47</v>
      </c>
      <c r="F96" t="str">
        <f t="shared" si="13"/>
        <v>&lt;Placemark&gt;&lt;name&gt;36.47,-141.25&lt;/name&gt;&lt;Point&gt;&lt;coordinates&gt;-141.25,36.47,0&lt;/coordinates&gt;&lt;/Point&gt;&lt;/Placemark&gt;</v>
      </c>
    </row>
    <row r="97" spans="1:6" x14ac:dyDescent="0.35">
      <c r="A97" s="1">
        <f>COUNTA(A$12:A96)-1</f>
        <v>84</v>
      </c>
      <c r="B97" s="3">
        <f t="shared" si="9"/>
        <v>-141</v>
      </c>
      <c r="C97" s="4">
        <f t="shared" si="10"/>
        <v>36.270594231595673</v>
      </c>
      <c r="D97" s="4">
        <f t="shared" si="11"/>
        <v>-0.19576938543158917</v>
      </c>
      <c r="E97" s="5">
        <f t="shared" si="12"/>
        <v>36.270000000000003</v>
      </c>
      <c r="F97" t="str">
        <f t="shared" si="13"/>
        <v>&lt;Placemark&gt;&lt;name&gt;36.27,-141&lt;/name&gt;&lt;Point&gt;&lt;coordinates&gt;-141,36.27,0&lt;/coordinates&gt;&lt;/Point&gt;&lt;/Placemark&gt;</v>
      </c>
    </row>
    <row r="98" spans="1:6" x14ac:dyDescent="0.35">
      <c r="A98" s="1">
        <f>COUNTA(A$12:A97)-1</f>
        <v>85</v>
      </c>
      <c r="B98" s="3">
        <f t="shared" si="9"/>
        <v>-140.75</v>
      </c>
      <c r="C98" s="4">
        <f t="shared" si="10"/>
        <v>36.07331532312913</v>
      </c>
      <c r="D98" s="4">
        <f t="shared" si="11"/>
        <v>-0.19727890846654361</v>
      </c>
      <c r="E98" s="5">
        <f t="shared" si="12"/>
        <v>36.07</v>
      </c>
      <c r="F98" t="str">
        <f t="shared" si="13"/>
        <v>&lt;Placemark&gt;&lt;name&gt;36.07,-140.75&lt;/name&gt;&lt;Point&gt;&lt;coordinates&gt;-140.75,36.07,0&lt;/coordinates&gt;&lt;/Point&gt;&lt;/Placemark&gt;</v>
      </c>
    </row>
    <row r="99" spans="1:6" x14ac:dyDescent="0.35">
      <c r="A99" s="1">
        <f>COUNTA(A$12:A98)-1</f>
        <v>86</v>
      </c>
      <c r="B99" s="3">
        <f t="shared" si="9"/>
        <v>-140.5</v>
      </c>
      <c r="C99" s="4">
        <f t="shared" si="10"/>
        <v>35.8745199739231</v>
      </c>
      <c r="D99" s="4">
        <f t="shared" si="11"/>
        <v>-0.19879534920602993</v>
      </c>
      <c r="E99" s="5">
        <f t="shared" si="12"/>
        <v>35.869999999999997</v>
      </c>
      <c r="F99" t="str">
        <f t="shared" si="13"/>
        <v>&lt;Placemark&gt;&lt;name&gt;35.87,-140.5&lt;/name&gt;&lt;Point&gt;&lt;coordinates&gt;-140.5,35.87,0&lt;/coordinates&gt;&lt;/Point&gt;&lt;/Placemark&gt;</v>
      </c>
    </row>
    <row r="100" spans="1:6" x14ac:dyDescent="0.35">
      <c r="A100" s="1">
        <f>COUNTA(A$12:A99)-1</f>
        <v>87</v>
      </c>
      <c r="B100" s="3">
        <f t="shared" si="9"/>
        <v>-140.25</v>
      </c>
      <c r="C100" s="4">
        <f t="shared" si="10"/>
        <v>35.674201354587019</v>
      </c>
      <c r="D100" s="4">
        <f t="shared" si="11"/>
        <v>-0.20031861933608042</v>
      </c>
      <c r="E100" s="5">
        <f t="shared" si="12"/>
        <v>35.67</v>
      </c>
      <c r="F100" t="str">
        <f t="shared" si="13"/>
        <v>&lt;Placemark&gt;&lt;name&gt;35.67,-140.25&lt;/name&gt;&lt;Point&gt;&lt;coordinates&gt;-140.25,35.67,0&lt;/coordinates&gt;&lt;/Point&gt;&lt;/Placemark&gt;</v>
      </c>
    </row>
    <row r="101" spans="1:6" x14ac:dyDescent="0.35">
      <c r="A101" s="1">
        <f>COUNTA(A$12:A100)-1</f>
        <v>88</v>
      </c>
      <c r="B101" s="3">
        <f t="shared" si="9"/>
        <v>-140</v>
      </c>
      <c r="C101" s="4">
        <f t="shared" si="10"/>
        <v>35.472352728740809</v>
      </c>
      <c r="D101" s="4">
        <f t="shared" si="11"/>
        <v>-0.20184862584621044</v>
      </c>
      <c r="E101" s="5">
        <f t="shared" si="12"/>
        <v>35.47</v>
      </c>
      <c r="F101" t="str">
        <f t="shared" si="13"/>
        <v>&lt;Placemark&gt;&lt;name&gt;35.47,-140&lt;/name&gt;&lt;Point&gt;&lt;coordinates&gt;-140,35.47,0&lt;/coordinates&gt;&lt;/Point&gt;&lt;/Placemark&gt;</v>
      </c>
    </row>
    <row r="102" spans="1:6" x14ac:dyDescent="0.35">
      <c r="A102" s="1">
        <f>COUNTA(A$12:A101)-1</f>
        <v>89</v>
      </c>
      <c r="B102" s="3">
        <f t="shared" si="9"/>
        <v>-139.75</v>
      </c>
      <c r="C102" s="4">
        <f t="shared" si="10"/>
        <v>35.268967457814824</v>
      </c>
      <c r="D102" s="4">
        <f t="shared" si="11"/>
        <v>-0.20338527092598468</v>
      </c>
      <c r="E102" s="5">
        <f t="shared" si="12"/>
        <v>35.270000000000003</v>
      </c>
      <c r="F102" t="str">
        <f t="shared" si="13"/>
        <v>&lt;Placemark&gt;&lt;name&gt;35.27,-139.75&lt;/name&gt;&lt;Point&gt;&lt;coordinates&gt;-139.75,35.27,0&lt;/coordinates&gt;&lt;/Point&gt;&lt;/Placemark&gt;</v>
      </c>
    </row>
    <row r="103" spans="1:6" x14ac:dyDescent="0.35">
      <c r="A103" s="1">
        <f>COUNTA(A$12:A102)-1</f>
        <v>90</v>
      </c>
      <c r="B103" s="3">
        <f t="shared" si="9"/>
        <v>-139.5</v>
      </c>
      <c r="C103" s="4">
        <f t="shared" si="10"/>
        <v>35.064039005953489</v>
      </c>
      <c r="D103" s="4">
        <f t="shared" si="11"/>
        <v>-0.20492845186133479</v>
      </c>
      <c r="E103" s="5">
        <f t="shared" si="12"/>
        <v>35.06</v>
      </c>
      <c r="F103" t="str">
        <f t="shared" si="13"/>
        <v>&lt;Placemark&gt;&lt;name&gt;35.06,-139.5&lt;/name&gt;&lt;Point&gt;&lt;coordinates&gt;-139.5,35.06,0&lt;/coordinates&gt;&lt;/Point&gt;&lt;/Placemark&gt;</v>
      </c>
    </row>
    <row r="104" spans="1:6" x14ac:dyDescent="0.35">
      <c r="A104" s="1">
        <f>COUNTA(A$12:A103)-1</f>
        <v>91</v>
      </c>
      <c r="B104" s="3">
        <f t="shared" si="9"/>
        <v>-139.25</v>
      </c>
      <c r="C104" s="4">
        <f t="shared" si="10"/>
        <v>34.857560945023074</v>
      </c>
      <c r="D104" s="4">
        <f t="shared" si="11"/>
        <v>-0.2064780609304151</v>
      </c>
      <c r="E104" s="5">
        <f t="shared" si="12"/>
        <v>34.86</v>
      </c>
      <c r="F104" t="str">
        <f t="shared" si="13"/>
        <v>&lt;Placemark&gt;&lt;name&gt;34.86,-139.25&lt;/name&gt;&lt;Point&gt;&lt;coordinates&gt;-139.25,34.86,0&lt;/coordinates&gt;&lt;/Point&gt;&lt;/Placemark&gt;</v>
      </c>
    </row>
    <row r="105" spans="1:6" x14ac:dyDescent="0.35">
      <c r="A105" s="1">
        <f>COUNTA(A$12:A104)-1</f>
        <v>92</v>
      </c>
      <c r="B105" s="3">
        <f t="shared" si="9"/>
        <v>-139</v>
      </c>
      <c r="C105" s="4">
        <f t="shared" si="10"/>
        <v>34.649526959723126</v>
      </c>
      <c r="D105" s="4">
        <f t="shared" si="11"/>
        <v>-0.20803398529994865</v>
      </c>
      <c r="E105" s="5">
        <f t="shared" si="12"/>
        <v>34.65</v>
      </c>
      <c r="F105" t="str">
        <f t="shared" si="13"/>
        <v>&lt;Placemark&gt;&lt;name&gt;34.65,-139&lt;/name&gt;&lt;Point&gt;&lt;coordinates&gt;-139,34.65,0&lt;/coordinates&gt;&lt;/Point&gt;&lt;/Placemark&gt;</v>
      </c>
    </row>
    <row r="106" spans="1:6" x14ac:dyDescent="0.35">
      <c r="A106" s="1">
        <f>COUNTA(A$12:A105)-1</f>
        <v>93</v>
      </c>
      <c r="B106" s="3">
        <f t="shared" si="9"/>
        <v>-138.75</v>
      </c>
      <c r="C106" s="4">
        <f t="shared" si="10"/>
        <v>34.439930852801922</v>
      </c>
      <c r="D106" s="4">
        <f t="shared" si="11"/>
        <v>-0.20959610692120378</v>
      </c>
      <c r="E106" s="5">
        <f t="shared" si="12"/>
        <v>34.44</v>
      </c>
      <c r="F106" t="str">
        <f t="shared" si="13"/>
        <v>&lt;Placemark&gt;&lt;name&gt;34.44,-138.75&lt;/name&gt;&lt;Point&gt;&lt;coordinates&gt;-138.75,34.44,0&lt;/coordinates&gt;&lt;/Point&gt;&lt;/Placemark&gt;</v>
      </c>
    </row>
    <row r="107" spans="1:6" x14ac:dyDescent="0.35">
      <c r="A107" s="1">
        <f>COUNTA(A$12:A106)-1</f>
        <v>94</v>
      </c>
      <c r="B107" s="3">
        <f t="shared" si="9"/>
        <v>-138.5</v>
      </c>
      <c r="C107" s="4">
        <f t="shared" si="10"/>
        <v>34.228766550375454</v>
      </c>
      <c r="D107" s="4">
        <f t="shared" si="11"/>
        <v>-0.211164302426468</v>
      </c>
      <c r="E107" s="5">
        <f t="shared" si="12"/>
        <v>34.229999999999997</v>
      </c>
      <c r="F107" t="str">
        <f t="shared" si="13"/>
        <v>&lt;Placemark&gt;&lt;name&gt;34.23,-138.5&lt;/name&gt;&lt;Point&gt;&lt;coordinates&gt;-138.5,34.23,0&lt;/coordinates&gt;&lt;/Point&gt;&lt;/Placemark&gt;</v>
      </c>
    </row>
    <row r="108" spans="1:6" x14ac:dyDescent="0.35">
      <c r="A108" s="1">
        <f>COUNTA(A$12:A107)-1</f>
        <v>95</v>
      </c>
      <c r="B108" s="3">
        <f t="shared" si="9"/>
        <v>-138.25</v>
      </c>
      <c r="C108" s="4">
        <f t="shared" si="10"/>
        <v>34.016028107349534</v>
      </c>
      <c r="D108" s="4">
        <f t="shared" si="11"/>
        <v>-0.21273844302591982</v>
      </c>
      <c r="E108" s="5">
        <f t="shared" si="12"/>
        <v>34.020000000000003</v>
      </c>
      <c r="F108" t="str">
        <f t="shared" si="13"/>
        <v>&lt;Placemark&gt;&lt;name&gt;34.02,-138.25&lt;/name&gt;&lt;Point&gt;&lt;coordinates&gt;-138.25,34.02,0&lt;/coordinates&gt;&lt;/Point&gt;&lt;/Placemark&gt;</v>
      </c>
    </row>
    <row r="109" spans="1:6" x14ac:dyDescent="0.35">
      <c r="A109" s="1">
        <f>COUNTA(A$12:A108)-1</f>
        <v>96</v>
      </c>
      <c r="B109" s="3">
        <f t="shared" si="9"/>
        <v>-138</v>
      </c>
      <c r="C109" s="4">
        <f t="shared" si="10"/>
        <v>33.801709712944877</v>
      </c>
      <c r="D109" s="4">
        <f t="shared" si="11"/>
        <v>-0.21431839440465694</v>
      </c>
      <c r="E109" s="5">
        <f t="shared" si="12"/>
        <v>33.799999999999997</v>
      </c>
      <c r="F109" t="str">
        <f t="shared" si="13"/>
        <v>&lt;Placemark&gt;&lt;name&gt;33.8,-138&lt;/name&gt;&lt;Point&gt;&lt;coordinates&gt;-138,33.8,0&lt;/coordinates&gt;&lt;/Point&gt;&lt;/Placemark&gt;</v>
      </c>
    </row>
    <row r="110" spans="1:6" x14ac:dyDescent="0.35">
      <c r="A110" s="1">
        <f>COUNTA(A$12:A109)-1</f>
        <v>97</v>
      </c>
      <c r="B110" s="3">
        <f t="shared" si="9"/>
        <v>-137.75</v>
      </c>
      <c r="C110" s="4">
        <f t="shared" si="10"/>
        <v>33.585805696324137</v>
      </c>
      <c r="D110" s="4">
        <f t="shared" si="11"/>
        <v>-0.21590401662074044</v>
      </c>
      <c r="E110" s="5">
        <f t="shared" si="12"/>
        <v>33.590000000000003</v>
      </c>
      <c r="F110" t="str">
        <f t="shared" si="13"/>
        <v>&lt;Placemark&gt;&lt;name&gt;33.59,-137.75&lt;/name&gt;&lt;Point&gt;&lt;coordinates&gt;-137.75,33.59,0&lt;/coordinates&gt;&lt;/Point&gt;&lt;/Placemark&gt;</v>
      </c>
    </row>
    <row r="111" spans="1:6" x14ac:dyDescent="0.35">
      <c r="A111" s="1">
        <f>COUNTA(A$12:A110)-1</f>
        <v>98</v>
      </c>
      <c r="B111" s="3">
        <f t="shared" si="9"/>
        <v>-137.5</v>
      </c>
      <c r="C111" s="4">
        <f t="shared" si="10"/>
        <v>33.368310532320145</v>
      </c>
      <c r="D111" s="4">
        <f t="shared" si="11"/>
        <v>-0.21749516400399216</v>
      </c>
      <c r="E111" s="5">
        <f t="shared" si="12"/>
        <v>33.369999999999997</v>
      </c>
      <c r="F111" t="str">
        <f t="shared" si="13"/>
        <v>&lt;Placemark&gt;&lt;name&gt;33.37,-137.5&lt;/name&gt;&lt;Point&gt;&lt;coordinates&gt;-137.5,33.37,0&lt;/coordinates&gt;&lt;/Point&gt;&lt;/Placemark&gt;</v>
      </c>
    </row>
    <row r="112" spans="1:6" x14ac:dyDescent="0.35">
      <c r="A112" s="1">
        <f>COUNTA(A$12:A111)-1</f>
        <v>99</v>
      </c>
      <c r="B112" s="3">
        <f t="shared" si="9"/>
        <v>-137.25</v>
      </c>
      <c r="C112" s="4">
        <f t="shared" si="10"/>
        <v>33.149218847264827</v>
      </c>
      <c r="D112" s="4">
        <f t="shared" si="11"/>
        <v>-0.21909168505531795</v>
      </c>
      <c r="E112" s="5">
        <f t="shared" si="12"/>
        <v>33.15</v>
      </c>
      <c r="F112" t="str">
        <f t="shared" si="13"/>
        <v>&lt;Placemark&gt;&lt;name&gt;33.15,-137.25&lt;/name&gt;&lt;Point&gt;&lt;coordinates&gt;-137.25,33.15,0&lt;/coordinates&gt;&lt;/Point&gt;&lt;/Placemark&gt;</v>
      </c>
    </row>
    <row r="113" spans="1:6" x14ac:dyDescent="0.35">
      <c r="A113" s="1">
        <f>COUNTA(A$12:A112)-1</f>
        <v>100</v>
      </c>
      <c r="B113" s="3">
        <f t="shared" si="9"/>
        <v>-137</v>
      </c>
      <c r="C113" s="4">
        <f t="shared" si="10"/>
        <v>32.928525424916991</v>
      </c>
      <c r="D113" s="4">
        <f t="shared" si="11"/>
        <v>-0.22069342234783562</v>
      </c>
      <c r="E113" s="5">
        <f t="shared" si="12"/>
        <v>32.93</v>
      </c>
      <c r="F113" t="str">
        <f t="shared" si="13"/>
        <v>&lt;Placemark&gt;&lt;name&gt;32.93,-137&lt;/name&gt;&lt;Point&gt;&lt;coordinates&gt;-137,32.93,0&lt;/coordinates&gt;&lt;/Point&gt;&lt;/Placemark&gt;</v>
      </c>
    </row>
    <row r="114" spans="1:6" x14ac:dyDescent="0.35">
      <c r="A114" s="1">
        <f>COUNTA(A$12:A113)-1</f>
        <v>101</v>
      </c>
      <c r="B114" s="3">
        <f t="shared" si="9"/>
        <v>-136.75</v>
      </c>
      <c r="C114" s="4">
        <f t="shared" si="10"/>
        <v>32.70622521248842</v>
      </c>
      <c r="D114" s="4">
        <f t="shared" si="11"/>
        <v>-0.22230021242857134</v>
      </c>
      <c r="E114" s="5">
        <f t="shared" si="12"/>
        <v>32.71</v>
      </c>
      <c r="F114" t="str">
        <f t="shared" si="13"/>
        <v>&lt;Placemark&gt;&lt;name&gt;32.71,-136.75&lt;/name&gt;&lt;Point&gt;&lt;coordinates&gt;-136.75,32.71,0&lt;/coordinates&gt;&lt;/Point&gt;&lt;/Placemark&gt;</v>
      </c>
    </row>
    <row r="115" spans="1:6" x14ac:dyDescent="0.35">
      <c r="A115" s="1">
        <f>COUNTA(A$12:A114)-1</f>
        <v>102</v>
      </c>
      <c r="B115" s="3">
        <f t="shared" si="9"/>
        <v>-136.5</v>
      </c>
      <c r="C115" s="4">
        <f t="shared" si="10"/>
        <v>32.482313326766231</v>
      </c>
      <c r="D115" s="4">
        <f t="shared" si="11"/>
        <v>-0.22391188572218823</v>
      </c>
      <c r="E115" s="5">
        <f t="shared" si="12"/>
        <v>32.479999999999997</v>
      </c>
      <c r="F115" t="str">
        <f t="shared" si="13"/>
        <v>&lt;Placemark&gt;&lt;name&gt;32.48,-136.5&lt;/name&gt;&lt;Point&gt;&lt;coordinates&gt;-136.5,32.48,0&lt;/coordinates&gt;&lt;/Point&gt;&lt;/Placemark&gt;</v>
      </c>
    </row>
    <row r="116" spans="1:6" x14ac:dyDescent="0.35">
      <c r="A116" s="1">
        <f>COUNTA(A$12:A115)-1</f>
        <v>103</v>
      </c>
      <c r="B116" s="3">
        <f t="shared" si="9"/>
        <v>-136.25</v>
      </c>
      <c r="C116" s="4">
        <f t="shared" si="10"/>
        <v>32.256785060330003</v>
      </c>
      <c r="D116" s="4">
        <f t="shared" si="11"/>
        <v>-0.22552826643622836</v>
      </c>
      <c r="E116" s="5">
        <f t="shared" si="12"/>
        <v>32.26</v>
      </c>
      <c r="F116" t="str">
        <f t="shared" si="13"/>
        <v>&lt;Placemark&gt;&lt;name&gt;32.26,-136.25&lt;/name&gt;&lt;Point&gt;&lt;coordinates&gt;-136.25,32.26,0&lt;/coordinates&gt;&lt;/Point&gt;&lt;/Placemark&gt;</v>
      </c>
    </row>
    <row r="117" spans="1:6" x14ac:dyDescent="0.35">
      <c r="A117" s="1">
        <f>COUNTA(A$12:A116)-1</f>
        <v>104</v>
      </c>
      <c r="B117" s="3">
        <f t="shared" si="9"/>
        <v>-136</v>
      </c>
      <c r="C117" s="4">
        <f t="shared" si="10"/>
        <v>32.029635887862298</v>
      </c>
      <c r="D117" s="4">
        <f t="shared" si="11"/>
        <v>-0.22714917246770483</v>
      </c>
      <c r="E117" s="5">
        <f t="shared" si="12"/>
        <v>32.03</v>
      </c>
      <c r="F117" t="str">
        <f t="shared" si="13"/>
        <v>&lt;Placemark&gt;&lt;name&gt;32.03,-136&lt;/name&gt;&lt;Point&gt;&lt;coordinates&gt;-136,32.03,0&lt;/coordinates&gt;&lt;/Point&gt;&lt;/Placemark&gt;</v>
      </c>
    </row>
    <row r="118" spans="1:6" x14ac:dyDescent="0.35">
      <c r="A118" s="1">
        <f>COUNTA(A$12:A117)-1</f>
        <v>105</v>
      </c>
      <c r="B118" s="3">
        <f t="shared" si="9"/>
        <v>-135.75</v>
      </c>
      <c r="C118" s="4">
        <f t="shared" si="10"/>
        <v>31.800861472549649</v>
      </c>
      <c r="D118" s="4">
        <f t="shared" si="11"/>
        <v>-0.22877441531264964</v>
      </c>
      <c r="E118" s="5">
        <f t="shared" si="12"/>
        <v>31.8</v>
      </c>
      <c r="F118" t="str">
        <f t="shared" si="13"/>
        <v>&lt;Placemark&gt;&lt;name&gt;31.8,-135.75&lt;/name&gt;&lt;Point&gt;&lt;coordinates&gt;-135.75,31.8,0&lt;/coordinates&gt;&lt;/Point&gt;&lt;/Placemark&gt;</v>
      </c>
    </row>
    <row r="119" spans="1:6" x14ac:dyDescent="0.35">
      <c r="A119" s="1">
        <f>COUNTA(A$12:A118)-1</f>
        <v>106</v>
      </c>
      <c r="B119" s="3">
        <f t="shared" si="9"/>
        <v>-135.5</v>
      </c>
      <c r="C119" s="4">
        <f t="shared" si="10"/>
        <v>31.570457672572665</v>
      </c>
      <c r="D119" s="4">
        <f t="shared" si="11"/>
        <v>-0.23040379997698324</v>
      </c>
      <c r="E119" s="5">
        <f t="shared" si="12"/>
        <v>31.57</v>
      </c>
      <c r="F119" t="str">
        <f t="shared" si="13"/>
        <v>&lt;Placemark&gt;&lt;name&gt;31.57,-135.5&lt;/name&gt;&lt;Point&gt;&lt;coordinates&gt;-135.5,31.57,0&lt;/coordinates&gt;&lt;/Point&gt;&lt;/Placemark&gt;</v>
      </c>
    </row>
    <row r="120" spans="1:6" x14ac:dyDescent="0.35">
      <c r="A120" s="1">
        <f>COUNTA(A$12:A119)-1</f>
        <v>107</v>
      </c>
      <c r="B120" s="3">
        <f t="shared" si="9"/>
        <v>-135.25</v>
      </c>
      <c r="C120" s="4">
        <f t="shared" si="10"/>
        <v>31.338420547682162</v>
      </c>
      <c r="D120" s="4">
        <f t="shared" si="11"/>
        <v>-0.23203712489050332</v>
      </c>
      <c r="E120" s="5">
        <f t="shared" si="12"/>
        <v>31.34</v>
      </c>
      <c r="F120" t="str">
        <f t="shared" si="13"/>
        <v>&lt;Placemark&gt;&lt;name&gt;31.34,-135.25&lt;/name&gt;&lt;Point&gt;&lt;coordinates&gt;-135.25,31.34,0&lt;/coordinates&gt;&lt;/Point&gt;&lt;/Placemark&gt;</v>
      </c>
    </row>
    <row r="121" spans="1:6" x14ac:dyDescent="0.35">
      <c r="A121" s="1">
        <f>COUNTA(A$12:A120)-1</f>
        <v>108</v>
      </c>
      <c r="B121" s="3">
        <f t="shared" si="9"/>
        <v>-135</v>
      </c>
      <c r="C121" s="4">
        <f t="shared" si="10"/>
        <v>31.10474636585888</v>
      </c>
      <c r="D121" s="4">
        <f t="shared" si="11"/>
        <v>-0.23367418182328237</v>
      </c>
      <c r="E121" s="5">
        <f t="shared" si="12"/>
        <v>31.1</v>
      </c>
      <c r="F121" t="str">
        <f t="shared" si="13"/>
        <v>&lt;Placemark&gt;&lt;name&gt;31.1,-135&lt;/name&gt;&lt;Point&gt;&lt;coordinates&gt;-135,31.1,0&lt;/coordinates&gt;&lt;/Point&gt;&lt;/Placemark&gt;</v>
      </c>
    </row>
    <row r="122" spans="1:6" x14ac:dyDescent="0.35">
      <c r="A122" s="1">
        <f>COUNTA(A$12:A121)-1</f>
        <v>109</v>
      </c>
      <c r="B122" s="3">
        <f t="shared" si="9"/>
        <v>-134.75</v>
      </c>
      <c r="C122" s="4">
        <f t="shared" si="10"/>
        <v>30.869431610054093</v>
      </c>
      <c r="D122" s="4">
        <f t="shared" si="11"/>
        <v>-0.23531475580478656</v>
      </c>
      <c r="E122" s="5">
        <f t="shared" si="12"/>
        <v>30.87</v>
      </c>
      <c r="F122" t="str">
        <f t="shared" si="13"/>
        <v>&lt;Placemark&gt;&lt;name&gt;30.87,-134.75&lt;/name&gt;&lt;Point&gt;&lt;coordinates&gt;-134.75,30.87,0&lt;/coordinates&gt;&lt;/Point&gt;&lt;/Placemark&gt;</v>
      </c>
    </row>
    <row r="123" spans="1:6" x14ac:dyDescent="0.35">
      <c r="A123" s="1">
        <f>COUNTA(A$12:A122)-1</f>
        <v>110</v>
      </c>
      <c r="B123" s="3">
        <f t="shared" si="9"/>
        <v>-134.5</v>
      </c>
      <c r="C123" s="4">
        <f t="shared" si="10"/>
        <v>30.632472985007386</v>
      </c>
      <c r="D123" s="4">
        <f t="shared" si="11"/>
        <v>-0.23695862504670728</v>
      </c>
      <c r="E123" s="5">
        <f t="shared" si="12"/>
        <v>30.63</v>
      </c>
      <c r="F123" t="str">
        <f t="shared" si="13"/>
        <v>&lt;Placemark&gt;&lt;name&gt;30.63,-134.5&lt;/name&gt;&lt;Point&gt;&lt;coordinates&gt;-134.5,30.63,0&lt;/coordinates&gt;&lt;/Point&gt;&lt;/Placemark&gt;</v>
      </c>
    </row>
    <row r="124" spans="1:6" x14ac:dyDescent="0.35">
      <c r="A124" s="1">
        <f>COUNTA(A$12:A123)-1</f>
        <v>111</v>
      </c>
      <c r="B124" s="3">
        <f t="shared" si="9"/>
        <v>-134.25</v>
      </c>
      <c r="C124" s="4">
        <f t="shared" si="10"/>
        <v>30.393867424138993</v>
      </c>
      <c r="D124" s="4">
        <f t="shared" si="11"/>
        <v>-0.23860556086839324</v>
      </c>
      <c r="E124" s="5">
        <f t="shared" si="12"/>
        <v>30.39</v>
      </c>
      <c r="F124" t="str">
        <f t="shared" si="13"/>
        <v>&lt;Placemark&gt;&lt;name&gt;30.39,-134.25&lt;/name&gt;&lt;Point&gt;&lt;coordinates&gt;-134.25,30.39,0&lt;/coordinates&gt;&lt;/Point&gt;&lt;/Placemark&gt;</v>
      </c>
    </row>
    <row r="125" spans="1:6" x14ac:dyDescent="0.35">
      <c r="A125" s="1">
        <f>COUNTA(A$12:A124)-1</f>
        <v>112</v>
      </c>
      <c r="B125" s="3">
        <f t="shared" si="9"/>
        <v>-134</v>
      </c>
      <c r="C125" s="4">
        <f t="shared" si="10"/>
        <v>30.153612096512447</v>
      </c>
      <c r="D125" s="4">
        <f t="shared" si="11"/>
        <v>-0.24025532762654578</v>
      </c>
      <c r="E125" s="5">
        <f t="shared" si="12"/>
        <v>30.15</v>
      </c>
      <c r="F125" t="str">
        <f t="shared" si="13"/>
        <v>&lt;Placemark&gt;&lt;name&gt;30.15,-134&lt;/name&gt;&lt;Point&gt;&lt;coordinates&gt;-134,30.15,0&lt;/coordinates&gt;&lt;/Point&gt;&lt;/Placemark&gt;</v>
      </c>
    </row>
    <row r="126" spans="1:6" x14ac:dyDescent="0.35">
      <c r="A126" s="1">
        <f>COUNTA(A$12:A125)-1</f>
        <v>113</v>
      </c>
      <c r="B126" s="3">
        <f t="shared" si="9"/>
        <v>-133.75</v>
      </c>
      <c r="C126" s="4">
        <f t="shared" si="10"/>
        <v>29.911704413863838</v>
      </c>
      <c r="D126" s="4">
        <f t="shared" si="11"/>
        <v>-0.24190768264860907</v>
      </c>
      <c r="E126" s="5">
        <f t="shared" si="12"/>
        <v>29.91</v>
      </c>
      <c r="F126" t="str">
        <f t="shared" si="13"/>
        <v>&lt;Placemark&gt;&lt;name&gt;29.91,-133.75&lt;/name&gt;&lt;Point&gt;&lt;coordinates&gt;-133.75,29.91,0&lt;/coordinates&gt;&lt;/Point&gt;&lt;/Placemark&gt;</v>
      </c>
    </row>
    <row r="127" spans="1:6" x14ac:dyDescent="0.35">
      <c r="A127" s="1">
        <f>COUNTA(A$12:A126)-1</f>
        <v>114</v>
      </c>
      <c r="B127" s="3">
        <f t="shared" si="9"/>
        <v>-133.5</v>
      </c>
      <c r="C127" s="4">
        <f t="shared" si="10"/>
        <v>29.668142037693961</v>
      </c>
      <c r="D127" s="4">
        <f t="shared" si="11"/>
        <v>-0.24356237616987642</v>
      </c>
      <c r="E127" s="5">
        <f t="shared" si="12"/>
        <v>29.67</v>
      </c>
      <c r="F127" t="str">
        <f t="shared" si="13"/>
        <v>&lt;Placemark&gt;&lt;name&gt;29.67,-133.5&lt;/name&gt;&lt;Point&gt;&lt;coordinates&gt;-133.5,29.67,0&lt;/coordinates&gt;&lt;/Point&gt;&lt;/Placemark&gt;</v>
      </c>
    </row>
    <row r="128" spans="1:6" x14ac:dyDescent="0.35">
      <c r="A128" s="1">
        <f>COUNTA(A$12:A127)-1</f>
        <v>115</v>
      </c>
      <c r="B128" s="3">
        <f t="shared" si="9"/>
        <v>-133.25</v>
      </c>
      <c r="C128" s="4">
        <f t="shared" si="10"/>
        <v>29.422922886418284</v>
      </c>
      <c r="D128" s="4">
        <f t="shared" si="11"/>
        <v>-0.24521915127567695</v>
      </c>
      <c r="E128" s="5">
        <f t="shared" si="12"/>
        <v>29.42</v>
      </c>
      <c r="F128" t="str">
        <f t="shared" si="13"/>
        <v>&lt;Placemark&gt;&lt;name&gt;29.42,-133.25&lt;/name&gt;&lt;Point&gt;&lt;coordinates&gt;-133.25,29.42,0&lt;/coordinates&gt;&lt;/Point&gt;&lt;/Placemark&gt;</v>
      </c>
    </row>
    <row r="129" spans="1:6" x14ac:dyDescent="0.35">
      <c r="A129" s="1">
        <f>COUNTA(A$12:A128)-1</f>
        <v>116</v>
      </c>
      <c r="B129" s="3">
        <f t="shared" si="9"/>
        <v>-133</v>
      </c>
      <c r="C129" s="4">
        <f t="shared" si="10"/>
        <v>29.176045142570523</v>
      </c>
      <c r="D129" s="4">
        <f t="shared" si="11"/>
        <v>-0.24687774384776162</v>
      </c>
      <c r="E129" s="5">
        <f t="shared" si="12"/>
        <v>29.18</v>
      </c>
      <c r="F129" t="str">
        <f t="shared" si="13"/>
        <v>&lt;Placemark&gt;&lt;name&gt;29.18,-133&lt;/name&gt;&lt;Point&gt;&lt;coordinates&gt;-133,29.18,0&lt;/coordinates&gt;&lt;/Point&gt;&lt;/Placemark&gt;</v>
      </c>
    </row>
    <row r="130" spans="1:6" x14ac:dyDescent="0.35">
      <c r="A130" s="1">
        <f>COUNTA(A$12:A129)-1</f>
        <v>117</v>
      </c>
      <c r="B130" s="3">
        <f t="shared" si="9"/>
        <v>-132.75</v>
      </c>
      <c r="C130" s="4">
        <f t="shared" si="10"/>
        <v>28.927507260055041</v>
      </c>
      <c r="D130" s="4">
        <f t="shared" si="11"/>
        <v>-0.24853788251548181</v>
      </c>
      <c r="E130" s="5">
        <f t="shared" si="12"/>
        <v>28.93</v>
      </c>
      <c r="F130" t="str">
        <f t="shared" si="13"/>
        <v>&lt;Placemark&gt;&lt;name&gt;28.93,-132.75&lt;/name&gt;&lt;Point&gt;&lt;coordinates&gt;-132.75,28.93,0&lt;/coordinates&gt;&lt;/Point&gt;&lt;/Placemark&gt;</v>
      </c>
    </row>
    <row r="131" spans="1:6" x14ac:dyDescent="0.35">
      <c r="A131" s="1">
        <f>COUNTA(A$12:A130)-1</f>
        <v>118</v>
      </c>
      <c r="B131" s="3">
        <f t="shared" si="9"/>
        <v>-132.5</v>
      </c>
      <c r="C131" s="4">
        <f t="shared" si="10"/>
        <v>28.677307971442215</v>
      </c>
      <c r="D131" s="4">
        <f t="shared" si="11"/>
        <v>-0.25019928861282636</v>
      </c>
      <c r="E131" s="5">
        <f t="shared" si="12"/>
        <v>28.68</v>
      </c>
      <c r="F131" t="str">
        <f t="shared" si="13"/>
        <v>&lt;Placemark&gt;&lt;name&gt;28.68,-132.5&lt;/name&gt;&lt;Point&gt;&lt;coordinates&gt;-132.5,28.68,0&lt;/coordinates&gt;&lt;/Point&gt;&lt;/Placemark&gt;</v>
      </c>
    </row>
    <row r="132" spans="1:6" x14ac:dyDescent="0.35">
      <c r="A132" s="1">
        <f>COUNTA(A$12:A131)-1</f>
        <v>119</v>
      </c>
      <c r="B132" s="3">
        <f t="shared" si="9"/>
        <v>-132.25</v>
      </c>
      <c r="C132" s="4">
        <f t="shared" si="10"/>
        <v>28.425446295302127</v>
      </c>
      <c r="D132" s="4">
        <f t="shared" si="11"/>
        <v>-0.25186167614008781</v>
      </c>
      <c r="E132" s="5">
        <f t="shared" si="12"/>
        <v>28.43</v>
      </c>
      <c r="F132" t="str">
        <f t="shared" si="13"/>
        <v>&lt;Placemark&gt;&lt;name&gt;28.43,-132.25&lt;/name&gt;&lt;Point&gt;&lt;coordinates&gt;-132.25,28.43,0&lt;/coordinates&gt;&lt;/Point&gt;&lt;/Placemark&gt;</v>
      </c>
    </row>
    <row r="133" spans="1:6" x14ac:dyDescent="0.35">
      <c r="A133" s="1">
        <f>COUNTA(A$12:A132)-1</f>
        <v>120</v>
      </c>
      <c r="B133" s="3">
        <f t="shared" si="9"/>
        <v>-132</v>
      </c>
      <c r="C133" s="4">
        <f t="shared" si="10"/>
        <v>28.171921543570139</v>
      </c>
      <c r="D133" s="4">
        <f t="shared" si="11"/>
        <v>-0.25352475173198741</v>
      </c>
      <c r="E133" s="5">
        <f t="shared" si="12"/>
        <v>28.17</v>
      </c>
      <c r="F133" t="str">
        <f t="shared" si="13"/>
        <v>&lt;Placemark&gt;&lt;name&gt;28.17,-132&lt;/name&gt;&lt;Point&gt;&lt;coordinates&gt;-132,28.17,0&lt;/coordinates&gt;&lt;/Point&gt;&lt;/Placemark&gt;</v>
      </c>
    </row>
    <row r="134" spans="1:6" x14ac:dyDescent="0.35">
      <c r="A134" s="1">
        <f>COUNTA(A$12:A133)-1</f>
        <v>121</v>
      </c>
      <c r="B134" s="3">
        <f t="shared" si="9"/>
        <v>-131.75</v>
      </c>
      <c r="C134" s="4">
        <f t="shared" si="10"/>
        <v>27.916733328938587</v>
      </c>
      <c r="D134" s="4">
        <f t="shared" si="11"/>
        <v>-0.25518821463155206</v>
      </c>
      <c r="E134" s="5">
        <f t="shared" si="12"/>
        <v>27.92</v>
      </c>
      <c r="F134" t="str">
        <f t="shared" si="13"/>
        <v>&lt;Placemark&gt;&lt;name&gt;27.92,-131.75&lt;/name&gt;&lt;Point&gt;&lt;coordinates&gt;-131.75,27.92,0&lt;/coordinates&gt;&lt;/Point&gt;&lt;/Placemark&gt;</v>
      </c>
    </row>
    <row r="135" spans="1:6" x14ac:dyDescent="0.35">
      <c r="A135" s="1">
        <f>COUNTA(A$12:A134)-1</f>
        <v>122</v>
      </c>
      <c r="B135" s="3">
        <f t="shared" si="9"/>
        <v>-131.5</v>
      </c>
      <c r="C135" s="4">
        <f t="shared" si="10"/>
        <v>27.659881572268393</v>
      </c>
      <c r="D135" s="4">
        <f t="shared" si="11"/>
        <v>-0.25685175667019422</v>
      </c>
      <c r="E135" s="5">
        <f t="shared" si="12"/>
        <v>27.66</v>
      </c>
      <c r="F135" t="str">
        <f t="shared" si="13"/>
        <v>&lt;Placemark&gt;&lt;name&gt;27.66,-131.5&lt;/name&gt;&lt;Point&gt;&lt;coordinates&gt;-131.5,27.66,0&lt;/coordinates&gt;&lt;/Point&gt;&lt;/Placemark&gt;</v>
      </c>
    </row>
    <row r="136" spans="1:6" x14ac:dyDescent="0.35">
      <c r="A136" s="1">
        <f>COUNTA(A$12:A135)-1</f>
        <v>123</v>
      </c>
      <c r="B136" s="3">
        <f t="shared" si="9"/>
        <v>-131.25</v>
      </c>
      <c r="C136" s="4">
        <f t="shared" si="10"/>
        <v>27.401366510013549</v>
      </c>
      <c r="D136" s="4">
        <f t="shared" si="11"/>
        <v>-0.258515062254844</v>
      </c>
      <c r="E136" s="5">
        <f t="shared" si="12"/>
        <v>27.4</v>
      </c>
      <c r="F136" t="str">
        <f t="shared" si="13"/>
        <v>&lt;Placemark&gt;&lt;name&gt;27.4,-131.25&lt;/name&gt;&lt;Point&gt;&lt;coordinates&gt;-131.25,27.4,0&lt;/coordinates&gt;&lt;/Point&gt;&lt;/Placemark&gt;</v>
      </c>
    </row>
    <row r="137" spans="1:6" x14ac:dyDescent="0.35">
      <c r="A137" s="1">
        <f>COUNTA(A$12:A136)-1</f>
        <v>124</v>
      </c>
      <c r="B137" s="3">
        <f t="shared" si="9"/>
        <v>-131</v>
      </c>
      <c r="C137" s="4">
        <f t="shared" si="10"/>
        <v>27.141188701652062</v>
      </c>
      <c r="D137" s="4">
        <f t="shared" si="11"/>
        <v>-0.26017780836148674</v>
      </c>
      <c r="E137" s="5">
        <f t="shared" si="12"/>
        <v>27.14</v>
      </c>
      <c r="F137" t="str">
        <f t="shared" si="13"/>
        <v>&lt;Placemark&gt;&lt;name&gt;27.14,-131&lt;/name&gt;&lt;Point&gt;&lt;coordinates&gt;-131,27.14,0&lt;/coordinates&gt;&lt;/Point&gt;&lt;/Placemark&gt;</v>
      </c>
    </row>
    <row r="138" spans="1:6" x14ac:dyDescent="0.35">
      <c r="A138" s="1">
        <f>COUNTA(A$12:A137)-1</f>
        <v>125</v>
      </c>
      <c r="B138" s="3">
        <f t="shared" si="9"/>
        <v>-130.75</v>
      </c>
      <c r="C138" s="4">
        <f t="shared" si="10"/>
        <v>26.879349037115627</v>
      </c>
      <c r="D138" s="4">
        <f t="shared" si="11"/>
        <v>-0.26183966453643492</v>
      </c>
      <c r="E138" s="5">
        <f t="shared" si="12"/>
        <v>26.88</v>
      </c>
      <c r="F138" t="str">
        <f t="shared" si="13"/>
        <v>&lt;Placemark&gt;&lt;name&gt;26.88,-130.75&lt;/name&gt;&lt;Point&gt;&lt;coordinates&gt;-130.75,26.88,0&lt;/coordinates&gt;&lt;/Point&gt;&lt;/Placemark&gt;</v>
      </c>
    </row>
    <row r="139" spans="1:6" x14ac:dyDescent="0.35">
      <c r="A139" s="1">
        <f>COUNTA(A$12:A138)-1</f>
        <v>126</v>
      </c>
      <c r="B139" s="3">
        <f t="shared" si="9"/>
        <v>-130.5</v>
      </c>
      <c r="C139" s="4">
        <f t="shared" si="10"/>
        <v>26.61584874421083</v>
      </c>
      <c r="D139" s="4">
        <f t="shared" si="11"/>
        <v>-0.26350029290479782</v>
      </c>
      <c r="E139" s="5">
        <f t="shared" si="12"/>
        <v>26.62</v>
      </c>
      <c r="F139" t="str">
        <f t="shared" si="13"/>
        <v>&lt;Placemark&gt;&lt;name&gt;26.62,-130.5&lt;/name&gt;&lt;Point&gt;&lt;coordinates&gt;-130.5,26.62,0&lt;/coordinates&gt;&lt;/Point&gt;&lt;/Placemark&gt;</v>
      </c>
    </row>
    <row r="140" spans="1:6" x14ac:dyDescent="0.35">
      <c r="A140" s="1">
        <f>COUNTA(A$12:A139)-1</f>
        <v>127</v>
      </c>
      <c r="B140" s="3">
        <f t="shared" si="9"/>
        <v>-130.25</v>
      </c>
      <c r="C140" s="4">
        <f t="shared" si="10"/>
        <v>26.35068939602424</v>
      </c>
      <c r="D140" s="4">
        <f t="shared" si="11"/>
        <v>-0.26515934818658948</v>
      </c>
      <c r="E140" s="5">
        <f t="shared" si="12"/>
        <v>26.35</v>
      </c>
      <c r="F140" t="str">
        <f t="shared" si="13"/>
        <v>&lt;Placemark&gt;&lt;name&gt;26.35,-130.25&lt;/name&gt;&lt;Point&gt;&lt;coordinates&gt;-130.25,26.35,0&lt;/coordinates&gt;&lt;/Point&gt;&lt;/Placemark&gt;</v>
      </c>
    </row>
    <row r="141" spans="1:6" x14ac:dyDescent="0.35">
      <c r="A141" s="1">
        <f>COUNTA(A$12:A140)-1</f>
        <v>128</v>
      </c>
      <c r="B141" s="3">
        <f t="shared" si="9"/>
        <v>-130</v>
      </c>
      <c r="C141" s="4">
        <f t="shared" si="10"/>
        <v>26.083872918302564</v>
      </c>
      <c r="D141" s="4">
        <f t="shared" si="11"/>
        <v>-0.26681647772167594</v>
      </c>
      <c r="E141" s="5">
        <f t="shared" si="12"/>
        <v>26.08</v>
      </c>
      <c r="F141" t="str">
        <f t="shared" si="13"/>
        <v>&lt;Placemark&gt;&lt;name&gt;26.08,-130&lt;/name&gt;&lt;Point&gt;&lt;coordinates&gt;-130,26.08,0&lt;/coordinates&gt;&lt;/Point&gt;&lt;/Placemark&gt;</v>
      </c>
    </row>
    <row r="142" spans="1:6" x14ac:dyDescent="0.35">
      <c r="A142" s="1">
        <f>COUNTA(A$12:A141)-1</f>
        <v>129</v>
      </c>
      <c r="B142" s="3">
        <f t="shared" si="9"/>
        <v>-129.75</v>
      </c>
      <c r="C142" s="4">
        <f t="shared" si="10"/>
        <v>25.815401596800438</v>
      </c>
      <c r="D142" s="4">
        <f t="shared" si="11"/>
        <v>-0.26847132150212616</v>
      </c>
      <c r="E142" s="5">
        <f t="shared" si="12"/>
        <v>25.82</v>
      </c>
      <c r="F142" t="str">
        <f t="shared" si="13"/>
        <v>&lt;Placemark&gt;&lt;name&gt;25.82,-129.75&lt;/name&gt;&lt;Point&gt;&lt;coordinates&gt;-129.75,25.82,0&lt;/coordinates&gt;&lt;/Point&gt;&lt;/Placemark&gt;</v>
      </c>
    </row>
    <row r="143" spans="1:6" x14ac:dyDescent="0.35">
      <c r="A143" s="1">
        <f>COUNTA(A$12:A142)-1</f>
        <v>130</v>
      </c>
      <c r="B143" s="3">
        <f t="shared" ref="B143:B164" si="14">IF(B142&gt;=180,ROUND(B142,2)+0.25-360,ROUND(B142,2)+0.25)</f>
        <v>-129.5</v>
      </c>
      <c r="C143" s="4">
        <f t="shared" si="10"/>
        <v>25.545278084586442</v>
      </c>
      <c r="D143" s="4">
        <f t="shared" si="11"/>
        <v>-0.27012351221399555</v>
      </c>
      <c r="E143" s="5">
        <f t="shared" si="12"/>
        <v>25.55</v>
      </c>
      <c r="F143" t="str">
        <f t="shared" si="13"/>
        <v>&lt;Placemark&gt;&lt;name&gt;25.55,-129.5&lt;/name&gt;&lt;Point&gt;&lt;coordinates&gt;-129.5,25.55,0&lt;/coordinates&gt;&lt;/Point&gt;&lt;/Placemark&gt;</v>
      </c>
    </row>
    <row r="144" spans="1:6" x14ac:dyDescent="0.35">
      <c r="A144" s="1">
        <f>COUNTA(A$12:A143)-1</f>
        <v>131</v>
      </c>
      <c r="B144" s="3">
        <f t="shared" si="14"/>
        <v>-129.25</v>
      </c>
      <c r="C144" s="4">
        <f t="shared" si="10"/>
        <v>25.273505409298597</v>
      </c>
      <c r="D144" s="4">
        <f t="shared" si="11"/>
        <v>-0.27177267528784554</v>
      </c>
      <c r="E144" s="5">
        <f t="shared" si="12"/>
        <v>25.27</v>
      </c>
      <c r="F144" t="str">
        <f t="shared" si="13"/>
        <v>&lt;Placemark&gt;&lt;name&gt;25.27,-129.25&lt;/name&gt;&lt;Point&gt;&lt;coordinates&gt;-129.25,25.27,0&lt;/coordinates&gt;&lt;/Point&gt;&lt;/Placemark&gt;</v>
      </c>
    </row>
    <row r="145" spans="1:6" x14ac:dyDescent="0.35">
      <c r="A145" s="1">
        <f>COUNTA(A$12:A144)-1</f>
        <v>132</v>
      </c>
      <c r="B145" s="3">
        <f t="shared" si="14"/>
        <v>-129</v>
      </c>
      <c r="C145" s="4">
        <f t="shared" si="10"/>
        <v>25.000086980340349</v>
      </c>
      <c r="D145" s="4">
        <f t="shared" si="11"/>
        <v>-0.27341842895824797</v>
      </c>
      <c r="E145" s="5">
        <f t="shared" si="12"/>
        <v>25</v>
      </c>
      <c r="F145" t="str">
        <f t="shared" si="13"/>
        <v>&lt;Placemark&gt;&lt;name&gt;25,-129&lt;/name&gt;&lt;Point&gt;&lt;coordinates&gt;-129,25,0&lt;/coordinates&gt;&lt;/Point&gt;&lt;/Placemark&gt;</v>
      </c>
    </row>
    <row r="146" spans="1:6" x14ac:dyDescent="0.35">
      <c r="A146" s="1">
        <f>COUNTA(A$12:A145)-1</f>
        <v>133</v>
      </c>
      <c r="B146" s="3">
        <f t="shared" si="14"/>
        <v>-128.75</v>
      </c>
      <c r="C146" s="4">
        <f t="shared" si="10"/>
        <v>24.725026596007087</v>
      </c>
      <c r="D146" s="4">
        <f t="shared" si="11"/>
        <v>-0.27506038433326196</v>
      </c>
      <c r="E146" s="5">
        <f t="shared" si="12"/>
        <v>24.73</v>
      </c>
      <c r="F146" t="str">
        <f t="shared" si="13"/>
        <v>&lt;Placemark&gt;&lt;name&gt;24.73,-128.75&lt;/name&gt;&lt;Point&gt;&lt;coordinates&gt;-128.75,24.73,0&lt;/coordinates&gt;&lt;/Point&gt;&lt;/Placemark&gt;</v>
      </c>
    </row>
    <row r="147" spans="1:6" x14ac:dyDescent="0.35">
      <c r="A147" s="1">
        <f>COUNTA(A$12:A146)-1</f>
        <v>134</v>
      </c>
      <c r="B147" s="3">
        <f t="shared" si="14"/>
        <v>-128.5</v>
      </c>
      <c r="C147" s="4">
        <f t="shared" si="10"/>
        <v>24.448328450533623</v>
      </c>
      <c r="D147" s="4">
        <f t="shared" si="11"/>
        <v>-0.27669814547346405</v>
      </c>
      <c r="E147" s="5">
        <f t="shared" si="12"/>
        <v>24.45</v>
      </c>
      <c r="F147" t="str">
        <f t="shared" si="13"/>
        <v>&lt;Placemark&gt;&lt;name&gt;24.45,-128.5&lt;/name&gt;&lt;Point&gt;&lt;coordinates&gt;-128.5,24.45,0&lt;/coordinates&gt;&lt;/Point&gt;&lt;/Placemark&gt;</v>
      </c>
    </row>
    <row r="148" spans="1:6" x14ac:dyDescent="0.35">
      <c r="A148" s="1">
        <f>COUNTA(A$12:A147)-1</f>
        <v>135</v>
      </c>
      <c r="B148" s="3">
        <f t="shared" si="14"/>
        <v>-128.25</v>
      </c>
      <c r="C148" s="4">
        <f t="shared" si="10"/>
        <v>24.169997141052878</v>
      </c>
      <c r="D148" s="4">
        <f t="shared" si="11"/>
        <v>-0.27833130948074469</v>
      </c>
      <c r="E148" s="5">
        <f t="shared" si="12"/>
        <v>24.17</v>
      </c>
      <c r="F148" t="str">
        <f t="shared" si="13"/>
        <v>&lt;Placemark&gt;&lt;name&gt;24.17,-128.25&lt;/name&gt;&lt;Point&gt;&lt;coordinates&gt;-128.25,24.17,0&lt;/coordinates&gt;&lt;/Point&gt;&lt;/Placemark&gt;</v>
      </c>
    </row>
    <row r="149" spans="1:6" x14ac:dyDescent="0.35">
      <c r="A149" s="1">
        <f>COUNTA(A$12:A148)-1</f>
        <v>136</v>
      </c>
      <c r="B149" s="3">
        <f t="shared" si="14"/>
        <v>-128</v>
      </c>
      <c r="C149" s="4">
        <f t="shared" ref="C149:C164" si="15">DEGREES(ATAN($B$7 * SIN(RADIANS(B149)) + $B$8 * COS(RADIANS(B149))))</f>
        <v>23.890037674454724</v>
      </c>
      <c r="D149" s="4">
        <f t="shared" ref="D149:D164" si="16">IF(C148="Lat","",C149-C148)</f>
        <v>-0.27995946659815374</v>
      </c>
      <c r="E149" s="5">
        <f t="shared" ref="E149:E164" si="17">ROUND(C149,2)</f>
        <v>23.89</v>
      </c>
      <c r="F149" t="str">
        <f t="shared" ref="F149:F164" si="18">"&lt;Placemark&gt;&lt;name&gt;"&amp;E149&amp;","&amp;B149&amp;"&lt;/name&gt;&lt;Point&gt;&lt;coordinates&gt;"&amp;B149&amp;","&amp;E149&amp;",0&lt;/coordinates&gt;&lt;/Point&gt;&lt;/Placemark&gt;"</f>
        <v>&lt;Placemark&gt;&lt;name&gt;23.89,-128&lt;/name&gt;&lt;Point&gt;&lt;coordinates&gt;-128,23.89,0&lt;/coordinates&gt;&lt;/Point&gt;&lt;/Placemark&gt;</v>
      </c>
    </row>
    <row r="150" spans="1:6" x14ac:dyDescent="0.35">
      <c r="A150" s="1">
        <f>COUNTA(A$12:A149)-1</f>
        <v>137</v>
      </c>
      <c r="B150" s="3">
        <f t="shared" si="14"/>
        <v>-127.75</v>
      </c>
      <c r="C150" s="4">
        <f t="shared" si="15"/>
        <v>23.608455474135372</v>
      </c>
      <c r="D150" s="4">
        <f t="shared" si="16"/>
        <v>-0.28158220031935244</v>
      </c>
      <c r="E150" s="5">
        <f t="shared" si="17"/>
        <v>23.61</v>
      </c>
      <c r="F150" t="str">
        <f t="shared" si="18"/>
        <v>&lt;Placemark&gt;&lt;name&gt;23.61,-127.75&lt;/name&gt;&lt;Point&gt;&lt;coordinates&gt;-127.75,23.61,0&lt;/coordinates&gt;&lt;/Point&gt;&lt;/Placemark&gt;</v>
      </c>
    </row>
    <row r="151" spans="1:6" x14ac:dyDescent="0.35">
      <c r="A151" s="1">
        <f>COUNTA(A$12:A150)-1</f>
        <v>138</v>
      </c>
      <c r="B151" s="3">
        <f t="shared" si="14"/>
        <v>-127.5</v>
      </c>
      <c r="C151" s="4">
        <f t="shared" si="15"/>
        <v>23.325256386625792</v>
      </c>
      <c r="D151" s="4">
        <f t="shared" si="16"/>
        <v>-0.28319908750957978</v>
      </c>
      <c r="E151" s="5">
        <f t="shared" si="17"/>
        <v>23.33</v>
      </c>
      <c r="F151" t="str">
        <f t="shared" si="18"/>
        <v>&lt;Placemark&gt;&lt;name&gt;23.33,-127.5&lt;/name&gt;&lt;Point&gt;&lt;coordinates&gt;-127.5,23.33,0&lt;/coordinates&gt;&lt;/Point&gt;&lt;/Placemark&gt;</v>
      </c>
    </row>
    <row r="152" spans="1:6" x14ac:dyDescent="0.35">
      <c r="A152" s="1">
        <f>COUNTA(A$12:A151)-1</f>
        <v>139</v>
      </c>
      <c r="B152" s="3">
        <f t="shared" si="14"/>
        <v>-127.25</v>
      </c>
      <c r="C152" s="4">
        <f t="shared" si="15"/>
        <v>23.040446688088402</v>
      </c>
      <c r="D152" s="4">
        <f t="shared" si="16"/>
        <v>-0.28480969853739069</v>
      </c>
      <c r="E152" s="5">
        <f t="shared" si="17"/>
        <v>23.04</v>
      </c>
      <c r="F152" t="str">
        <f t="shared" si="18"/>
        <v>&lt;Placemark&gt;&lt;name&gt;23.04,-127.25&lt;/name&gt;&lt;Point&gt;&lt;coordinates&gt;-127.25,23.04,0&lt;/coordinates&gt;&lt;/Point&gt;&lt;/Placemark&gt;</v>
      </c>
    </row>
    <row r="153" spans="1:6" x14ac:dyDescent="0.35">
      <c r="A153" s="1">
        <f>COUNTA(A$12:A152)-1</f>
        <v>140</v>
      </c>
      <c r="B153" s="3">
        <f t="shared" si="14"/>
        <v>-127</v>
      </c>
      <c r="C153" s="4">
        <f t="shared" si="15"/>
        <v>22.754033090671193</v>
      </c>
      <c r="D153" s="4">
        <f t="shared" si="16"/>
        <v>-0.28641359741720862</v>
      </c>
      <c r="E153" s="5">
        <f t="shared" si="17"/>
        <v>22.75</v>
      </c>
      <c r="F153" t="str">
        <f t="shared" si="18"/>
        <v>&lt;Placemark&gt;&lt;name&gt;22.75,-127&lt;/name&gt;&lt;Point&gt;&lt;coordinates&gt;-127,22.75,0&lt;/coordinates&gt;&lt;/Point&gt;&lt;/Placemark&gt;</v>
      </c>
    </row>
    <row r="154" spans="1:6" x14ac:dyDescent="0.35">
      <c r="A154" s="1">
        <f>COUNTA(A$12:A153)-1</f>
        <v>141</v>
      </c>
      <c r="B154" s="3">
        <f t="shared" si="14"/>
        <v>-126.75</v>
      </c>
      <c r="C154" s="4">
        <f t="shared" si="15"/>
        <v>22.46602274870715</v>
      </c>
      <c r="D154" s="4">
        <f t="shared" si="16"/>
        <v>-0.28801034196404274</v>
      </c>
      <c r="E154" s="5">
        <f t="shared" si="17"/>
        <v>22.47</v>
      </c>
      <c r="F154" t="str">
        <f t="shared" si="18"/>
        <v>&lt;Placemark&gt;&lt;name&gt;22.47,-126.75&lt;/name&gt;&lt;Point&gt;&lt;coordinates&gt;-126.75,22.47,0&lt;/coordinates&gt;&lt;/Point&gt;&lt;/Placemark&gt;</v>
      </c>
    </row>
    <row r="155" spans="1:6" x14ac:dyDescent="0.35">
      <c r="A155" s="1">
        <f>COUNTA(A$12:A154)-1</f>
        <v>142</v>
      </c>
      <c r="B155" s="3">
        <f t="shared" si="14"/>
        <v>-126.5</v>
      </c>
      <c r="C155" s="4">
        <f t="shared" si="15"/>
        <v>22.176423264748291</v>
      </c>
      <c r="D155" s="4">
        <f t="shared" si="16"/>
        <v>-0.28959948395885959</v>
      </c>
      <c r="E155" s="5">
        <f t="shared" si="17"/>
        <v>22.18</v>
      </c>
      <c r="F155" t="str">
        <f t="shared" si="18"/>
        <v>&lt;Placemark&gt;&lt;name&gt;22.18,-126.5&lt;/name&gt;&lt;Point&gt;&lt;coordinates&gt;-126.5,22.18,0&lt;/coordinates&gt;&lt;/Point&gt;&lt;/Placemark&gt;</v>
      </c>
    </row>
    <row r="156" spans="1:6" x14ac:dyDescent="0.35">
      <c r="A156" s="1">
        <f>COUNTA(A$12:A155)-1</f>
        <v>143</v>
      </c>
      <c r="B156" s="3">
        <f t="shared" si="14"/>
        <v>-126.25</v>
      </c>
      <c r="C156" s="4">
        <f t="shared" si="15"/>
        <v>21.88524269542178</v>
      </c>
      <c r="D156" s="4">
        <f t="shared" si="16"/>
        <v>-0.29118056932651015</v>
      </c>
      <c r="E156" s="5">
        <f t="shared" si="17"/>
        <v>21.89</v>
      </c>
      <c r="F156" t="str">
        <f t="shared" si="18"/>
        <v>&lt;Placemark&gt;&lt;name&gt;21.89,-126.25&lt;/name&gt;&lt;Point&gt;&lt;coordinates&gt;-126.25,21.89,0&lt;/coordinates&gt;&lt;/Point&gt;&lt;/Placemark&gt;</v>
      </c>
    </row>
    <row r="157" spans="1:6" x14ac:dyDescent="0.35">
      <c r="A157" s="1">
        <f>COUNTA(A$12:A156)-1</f>
        <v>144</v>
      </c>
      <c r="B157" s="3">
        <f t="shared" si="14"/>
        <v>-126</v>
      </c>
      <c r="C157" s="4">
        <f t="shared" si="15"/>
        <v>21.59248955709668</v>
      </c>
      <c r="D157" s="4">
        <f t="shared" si="16"/>
        <v>-0.29275313832510008</v>
      </c>
      <c r="E157" s="5">
        <f t="shared" si="17"/>
        <v>21.59</v>
      </c>
      <c r="F157" t="str">
        <f t="shared" si="18"/>
        <v>&lt;Placemark&gt;&lt;name&gt;21.59,-126&lt;/name&gt;&lt;Point&gt;&lt;coordinates&gt;-126,21.59,0&lt;/coordinates&gt;&lt;/Point&gt;&lt;/Placemark&gt;</v>
      </c>
    </row>
    <row r="158" spans="1:6" x14ac:dyDescent="0.35">
      <c r="A158" s="1">
        <f>COUNTA(A$12:A157)-1</f>
        <v>145</v>
      </c>
      <c r="B158" s="3">
        <f t="shared" si="14"/>
        <v>-125.75</v>
      </c>
      <c r="C158" s="4">
        <f t="shared" si="15"/>
        <v>21.298172831349486</v>
      </c>
      <c r="D158" s="4">
        <f t="shared" si="16"/>
        <v>-0.29431672574719414</v>
      </c>
      <c r="E158" s="5">
        <f t="shared" si="17"/>
        <v>21.3</v>
      </c>
      <c r="F158" t="str">
        <f t="shared" si="18"/>
        <v>&lt;Placemark&gt;&lt;name&gt;21.3,-125.75&lt;/name&gt;&lt;Point&gt;&lt;coordinates&gt;-125.75,21.3,0&lt;/coordinates&gt;&lt;/Point&gt;&lt;/Placemark&gt;</v>
      </c>
    </row>
    <row r="159" spans="1:6" x14ac:dyDescent="0.35">
      <c r="A159" s="1">
        <f>COUNTA(A$12:A158)-1</f>
        <v>146</v>
      </c>
      <c r="B159" s="3">
        <f t="shared" si="14"/>
        <v>-125.5</v>
      </c>
      <c r="C159" s="4">
        <f t="shared" si="15"/>
        <v>21.002301970215854</v>
      </c>
      <c r="D159" s="4">
        <f t="shared" si="16"/>
        <v>-0.2958708611336327</v>
      </c>
      <c r="E159" s="5">
        <f t="shared" si="17"/>
        <v>21</v>
      </c>
      <c r="F159" t="str">
        <f t="shared" si="18"/>
        <v>&lt;Placemark&gt;&lt;name&gt;21,-125.5&lt;/name&gt;&lt;Point&gt;&lt;coordinates&gt;-125.5,21,0&lt;/coordinates&gt;&lt;/Point&gt;&lt;/Placemark&gt;</v>
      </c>
    </row>
    <row r="160" spans="1:6" x14ac:dyDescent="0.35">
      <c r="A160" s="1">
        <f>COUNTA(A$12:A159)-1</f>
        <v>147</v>
      </c>
      <c r="B160" s="3">
        <f t="shared" si="14"/>
        <v>-125.25</v>
      </c>
      <c r="C160" s="4">
        <f t="shared" si="15"/>
        <v>20.704886901216664</v>
      </c>
      <c r="D160" s="4">
        <f t="shared" si="16"/>
        <v>-0.29741506899918946</v>
      </c>
      <c r="E160" s="5">
        <f t="shared" si="17"/>
        <v>20.7</v>
      </c>
      <c r="F160" t="str">
        <f t="shared" si="18"/>
        <v>&lt;Placemark&gt;&lt;name&gt;20.7,-125.25&lt;/name&gt;&lt;Point&gt;&lt;coordinates&gt;-125.25,20.7,0&lt;/coordinates&gt;&lt;/Point&gt;&lt;/Placemark&gt;</v>
      </c>
    </row>
    <row r="161" spans="1:6" x14ac:dyDescent="0.35">
      <c r="A161" s="1">
        <f>COUNTA(A$12:A160)-1</f>
        <v>148</v>
      </c>
      <c r="B161" s="3">
        <f t="shared" si="14"/>
        <v>-125</v>
      </c>
      <c r="C161" s="4">
        <f t="shared" si="15"/>
        <v>20.405938032146349</v>
      </c>
      <c r="D161" s="4">
        <f t="shared" si="16"/>
        <v>-0.29894886907031548</v>
      </c>
      <c r="E161" s="5">
        <f t="shared" si="17"/>
        <v>20.41</v>
      </c>
      <c r="F161" t="str">
        <f t="shared" si="18"/>
        <v>&lt;Placemark&gt;&lt;name&gt;20.41,-125&lt;/name&gt;&lt;Point&gt;&lt;coordinates&gt;-125,20.41,0&lt;/coordinates&gt;&lt;/Point&gt;&lt;/Placemark&gt;</v>
      </c>
    </row>
    <row r="162" spans="1:6" x14ac:dyDescent="0.35">
      <c r="A162" s="1">
        <f>COUNTA(A$12:A161)-1</f>
        <v>149</v>
      </c>
      <c r="B162" s="3">
        <f t="shared" si="14"/>
        <v>-124.75</v>
      </c>
      <c r="C162" s="4">
        <f t="shared" si="15"/>
        <v>20.105466255610594</v>
      </c>
      <c r="D162" s="4">
        <f t="shared" si="16"/>
        <v>-0.30047177653575474</v>
      </c>
      <c r="E162" s="5">
        <f t="shared" si="17"/>
        <v>20.11</v>
      </c>
      <c r="F162" t="str">
        <f t="shared" si="18"/>
        <v>&lt;Placemark&gt;&lt;name&gt;20.11,-124.75&lt;/name&gt;&lt;Point&gt;&lt;coordinates&gt;-124.75,20.11,0&lt;/coordinates&gt;&lt;/Point&gt;&lt;/Placemark&gt;</v>
      </c>
    </row>
    <row r="163" spans="1:6" x14ac:dyDescent="0.35">
      <c r="A163" s="1">
        <f>COUNTA(A$12:A162)-1</f>
        <v>150</v>
      </c>
      <c r="B163" s="3">
        <f t="shared" si="14"/>
        <v>-124.5</v>
      </c>
      <c r="C163" s="4">
        <f t="shared" si="15"/>
        <v>19.803482953301877</v>
      </c>
      <c r="D163" s="4">
        <f t="shared" si="16"/>
        <v>-0.30198330230871662</v>
      </c>
      <c r="E163" s="5">
        <f t="shared" si="17"/>
        <v>19.8</v>
      </c>
      <c r="F163" t="str">
        <f t="shared" si="18"/>
        <v>&lt;Placemark&gt;&lt;name&gt;19.8,-124.5&lt;/name&gt;&lt;Point&gt;&lt;coordinates&gt;-124.5,19.8,0&lt;/coordinates&gt;&lt;/Point&gt;&lt;/Placemark&gt;</v>
      </c>
    </row>
    <row r="164" spans="1:6" x14ac:dyDescent="0.35">
      <c r="A164" s="1">
        <f>COUNTA(A$12:A163)-1</f>
        <v>151</v>
      </c>
      <c r="B164" s="3">
        <f t="shared" si="14"/>
        <v>-124.25</v>
      </c>
      <c r="C164" s="4">
        <f t="shared" si="15"/>
        <v>19.499999999999993</v>
      </c>
      <c r="D164" s="4">
        <f t="shared" si="16"/>
        <v>-0.30348295330188435</v>
      </c>
      <c r="E164" s="5">
        <f t="shared" si="17"/>
        <v>19.5</v>
      </c>
      <c r="F164" t="str">
        <f t="shared" si="18"/>
        <v>&lt;Placemark&gt;&lt;name&gt;19.5,-124.25&lt;/name&gt;&lt;Point&gt;&lt;coordinates&gt;-124.25,19.5,0&lt;/coordinates&gt;&lt;/Point&gt;&lt;/Placemark&gt;</v>
      </c>
    </row>
  </sheetData>
  <pageMargins left="0.7" right="0.7" top="0.75" bottom="0.75" header="0.3" footer="0.3"/>
  <pageSetup paperSize="9" orientation="portrait" r:id="rId1"/>
  <headerFooter>
    <oddFooter>&amp;C_x000D_&amp;1#&amp;"Aptos"&amp;9&amp;K00AEFF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6738-0740-460D-931E-72A824CEA3E8}">
  <dimension ref="A1:F75"/>
  <sheetViews>
    <sheetView workbookViewId="0"/>
  </sheetViews>
  <sheetFormatPr defaultRowHeight="14.5" x14ac:dyDescent="0.35"/>
  <cols>
    <col min="1" max="1" width="11.54296875" style="1" bestFit="1" customWidth="1"/>
    <col min="2" max="2" width="18.08984375" style="1" bestFit="1" customWidth="1"/>
    <col min="3" max="3" width="9.08984375" style="1" bestFit="1" customWidth="1"/>
    <col min="4" max="4" width="8.08984375" style="1" bestFit="1" customWidth="1"/>
    <col min="5" max="5" width="10.453125" style="1" bestFit="1" customWidth="1"/>
  </cols>
  <sheetData>
    <row r="1" spans="1:6" s="9" customFormat="1" x14ac:dyDescent="0.35">
      <c r="A1" s="9" t="s">
        <v>15</v>
      </c>
      <c r="B1" s="9" t="s">
        <v>40</v>
      </c>
    </row>
    <row r="2" spans="1:6" x14ac:dyDescent="0.35">
      <c r="A2" s="9" t="s">
        <v>0</v>
      </c>
      <c r="B2" s="1">
        <v>19.5</v>
      </c>
    </row>
    <row r="3" spans="1:6" x14ac:dyDescent="0.35">
      <c r="A3" s="9" t="s">
        <v>1</v>
      </c>
      <c r="B3" s="1">
        <v>-124.25</v>
      </c>
    </row>
    <row r="4" spans="1:6" x14ac:dyDescent="0.35">
      <c r="A4" s="9" t="s">
        <v>2</v>
      </c>
      <c r="B4" s="1">
        <v>-19.5</v>
      </c>
    </row>
    <row r="5" spans="1:6" x14ac:dyDescent="0.35">
      <c r="A5" s="9" t="s">
        <v>3</v>
      </c>
      <c r="B5" s="1">
        <v>-139.75</v>
      </c>
    </row>
    <row r="6" spans="1:6" x14ac:dyDescent="0.35">
      <c r="A6" s="9" t="s">
        <v>4</v>
      </c>
      <c r="B6" s="1" t="str">
        <f>IF(AND(B2=-B4, MOD(ABS(B3-B5), 360)=180), "ERROR: Antipodal Points", "Valid")</f>
        <v>Valid</v>
      </c>
    </row>
    <row r="7" spans="1:6" x14ac:dyDescent="0.35">
      <c r="A7" s="9" t="s">
        <v>5</v>
      </c>
      <c r="B7" s="2">
        <f>(TAN(RADIANS(B2))*COS(RADIANS(B5))-TAN(RADIANS(B4))*COS(RADIANS(B3)))/SIN(RADIANS(B3)-RADIANS(B5))</f>
        <v>-1.7571371193319201</v>
      </c>
    </row>
    <row r="8" spans="1:6" x14ac:dyDescent="0.35">
      <c r="A8" s="9" t="s">
        <v>6</v>
      </c>
      <c r="B8" s="2">
        <f>(SIN(RADIANS(B3))*TAN(RADIANS(B4))-SIN(RADIANS(B5))*TAN(RADIANS(B2)))/SIN(RADIANS(B3)-RADIANS(B5))</f>
        <v>1.951498475000947</v>
      </c>
    </row>
    <row r="9" spans="1:6" x14ac:dyDescent="0.35">
      <c r="A9" s="9" t="s">
        <v>7</v>
      </c>
      <c r="B9" s="1">
        <f>ROUNDUP(DEGREES(ATAN(SQRT(B7^2 + B8^2))),3)</f>
        <v>69.153000000000006</v>
      </c>
    </row>
    <row r="10" spans="1:6" x14ac:dyDescent="0.35">
      <c r="A10" s="9" t="s">
        <v>8</v>
      </c>
      <c r="B10" s="1" t="b">
        <f>OR(MOD(B3-B5, 180)=0, ABS(B2)=90, ABS(B4)=90)</f>
        <v>0</v>
      </c>
    </row>
    <row r="11" spans="1:6" x14ac:dyDescent="0.35">
      <c r="A11" s="9"/>
    </row>
    <row r="12" spans="1:6" s="9" customFormat="1" x14ac:dyDescent="0.35">
      <c r="A12" s="9" t="s">
        <v>10</v>
      </c>
      <c r="B12" s="9" t="s">
        <v>9</v>
      </c>
      <c r="C12" s="9" t="s">
        <v>11</v>
      </c>
      <c r="D12" s="9" t="s">
        <v>12</v>
      </c>
      <c r="E12" s="9" t="s">
        <v>13</v>
      </c>
      <c r="F12" s="9" t="s">
        <v>14</v>
      </c>
    </row>
    <row r="13" spans="1:6" x14ac:dyDescent="0.35">
      <c r="A13" s="11">
        <f>COUNTA(A$12:A12)-1</f>
        <v>0</v>
      </c>
      <c r="B13" s="12">
        <v>-124.25</v>
      </c>
      <c r="C13" s="13">
        <f t="shared" ref="C13:C75" si="0">DEGREES(ATAN($B$7 * SIN(RADIANS(B13)) + $B$8 * COS(RADIANS(B13))))</f>
        <v>19.500000000000004</v>
      </c>
      <c r="D13" s="13" t="str">
        <f t="shared" ref="D13:D75" si="1">IF(C12="Lat","",C13-C12)</f>
        <v/>
      </c>
      <c r="E13" s="14">
        <f t="shared" ref="E13:E75" si="2">ROUND(C13,2)</f>
        <v>19.5</v>
      </c>
      <c r="F13" t="str">
        <f t="shared" ref="F13:F75" si="3">"&lt;Placemark&gt;&lt;name&gt;"&amp;E13&amp;","&amp;B13&amp;"&lt;/name&gt;&lt;Point&gt;&lt;coordinates&gt;"&amp;B13&amp;","&amp;E13&amp;",0&lt;/coordinates&gt;&lt;/Point&gt;&lt;/Placemark&gt;"</f>
        <v>&lt;Placemark&gt;&lt;name&gt;19.5,-124.25&lt;/name&gt;&lt;Point&gt;&lt;coordinates&gt;-124.25,19.5,0&lt;/coordinates&gt;&lt;/Point&gt;&lt;/Placemark&gt;</v>
      </c>
    </row>
    <row r="14" spans="1:6" x14ac:dyDescent="0.35">
      <c r="A14" s="1">
        <f>COUNTA(A$12:A13)-1</f>
        <v>1</v>
      </c>
      <c r="B14" s="3">
        <f>B13-0.25</f>
        <v>-124.5</v>
      </c>
      <c r="C14" s="4">
        <f t="shared" si="0"/>
        <v>18.919756619931704</v>
      </c>
      <c r="D14" s="4">
        <f t="shared" si="1"/>
        <v>-0.58024338006829979</v>
      </c>
      <c r="E14" s="5">
        <f t="shared" si="2"/>
        <v>18.920000000000002</v>
      </c>
      <c r="F14" t="str">
        <f t="shared" si="3"/>
        <v>&lt;Placemark&gt;&lt;name&gt;18.92,-124.5&lt;/name&gt;&lt;Point&gt;&lt;coordinates&gt;-124.5,18.92,0&lt;/coordinates&gt;&lt;/Point&gt;&lt;/Placemark&gt;</v>
      </c>
    </row>
    <row r="15" spans="1:6" x14ac:dyDescent="0.35">
      <c r="A15" s="1">
        <f>COUNTA(A$12:A14)-1</f>
        <v>2</v>
      </c>
      <c r="B15" s="3">
        <f t="shared" ref="B15:B75" si="4">B14-0.25</f>
        <v>-124.75</v>
      </c>
      <c r="C15" s="4">
        <f t="shared" si="0"/>
        <v>18.335120039691514</v>
      </c>
      <c r="D15" s="4">
        <f t="shared" si="1"/>
        <v>-0.58463658024018983</v>
      </c>
      <c r="E15" s="5">
        <f t="shared" si="2"/>
        <v>18.34</v>
      </c>
      <c r="F15" t="str">
        <f t="shared" si="3"/>
        <v>&lt;Placemark&gt;&lt;name&gt;18.34,-124.75&lt;/name&gt;&lt;Point&gt;&lt;coordinates&gt;-124.75,18.34,0&lt;/coordinates&gt;&lt;/Point&gt;&lt;/Placemark&gt;</v>
      </c>
    </row>
    <row r="16" spans="1:6" x14ac:dyDescent="0.35">
      <c r="A16" s="1">
        <f>COUNTA(A$12:A15)-1</f>
        <v>3</v>
      </c>
      <c r="B16" s="3">
        <f t="shared" si="4"/>
        <v>-125</v>
      </c>
      <c r="C16" s="4">
        <f t="shared" si="0"/>
        <v>17.746174824241031</v>
      </c>
      <c r="D16" s="4">
        <f t="shared" si="1"/>
        <v>-0.58894521545048306</v>
      </c>
      <c r="E16" s="5">
        <f t="shared" si="2"/>
        <v>17.75</v>
      </c>
      <c r="F16" t="str">
        <f t="shared" si="3"/>
        <v>&lt;Placemark&gt;&lt;name&gt;17.75,-125&lt;/name&gt;&lt;Point&gt;&lt;coordinates&gt;-125,17.75,0&lt;/coordinates&gt;&lt;/Point&gt;&lt;/Placemark&gt;</v>
      </c>
    </row>
    <row r="17" spans="1:6" x14ac:dyDescent="0.35">
      <c r="A17" s="1">
        <f>COUNTA(A$12:A16)-1</f>
        <v>4</v>
      </c>
      <c r="B17" s="3">
        <f t="shared" si="4"/>
        <v>-125.25</v>
      </c>
      <c r="C17" s="4">
        <f t="shared" si="0"/>
        <v>17.153010580536584</v>
      </c>
      <c r="D17" s="4">
        <f t="shared" si="1"/>
        <v>-0.59316424370444665</v>
      </c>
      <c r="E17" s="5">
        <f t="shared" si="2"/>
        <v>17.149999999999999</v>
      </c>
      <c r="F17" t="str">
        <f t="shared" si="3"/>
        <v>&lt;Placemark&gt;&lt;name&gt;17.15,-125.25&lt;/name&gt;&lt;Point&gt;&lt;coordinates&gt;-125.25,17.15,0&lt;/coordinates&gt;&lt;/Point&gt;&lt;/Placemark&gt;</v>
      </c>
    </row>
    <row r="18" spans="1:6" x14ac:dyDescent="0.35">
      <c r="A18" s="1">
        <f>COUNTA(A$12:A17)-1</f>
        <v>5</v>
      </c>
      <c r="B18" s="3">
        <f t="shared" si="4"/>
        <v>-125.5</v>
      </c>
      <c r="C18" s="4">
        <f t="shared" si="0"/>
        <v>16.555721967149008</v>
      </c>
      <c r="D18" s="4">
        <f t="shared" si="1"/>
        <v>-0.59728861338757611</v>
      </c>
      <c r="E18" s="5">
        <f t="shared" si="2"/>
        <v>16.559999999999999</v>
      </c>
      <c r="F18" t="str">
        <f t="shared" si="3"/>
        <v>&lt;Placemark&gt;&lt;name&gt;16.56,-125.5&lt;/name&gt;&lt;Point&gt;&lt;coordinates&gt;-125.5,16.56,0&lt;/coordinates&gt;&lt;/Point&gt;&lt;/Placemark&gt;</v>
      </c>
    </row>
    <row r="19" spans="1:6" x14ac:dyDescent="0.35">
      <c r="A19" s="1">
        <f>COUNTA(A$12:A18)-1</f>
        <v>6</v>
      </c>
      <c r="B19" s="3">
        <f t="shared" si="4"/>
        <v>-125.75</v>
      </c>
      <c r="C19" s="4">
        <f t="shared" si="0"/>
        <v>15.954408691475608</v>
      </c>
      <c r="D19" s="4">
        <f t="shared" si="1"/>
        <v>-0.60131327567339987</v>
      </c>
      <c r="E19" s="5">
        <f t="shared" si="2"/>
        <v>15.95</v>
      </c>
      <c r="F19" t="str">
        <f t="shared" si="3"/>
        <v>&lt;Placemark&gt;&lt;name&gt;15.95,-125.75&lt;/name&gt;&lt;Point&gt;&lt;coordinates&gt;-125.75,15.95,0&lt;/coordinates&gt;&lt;/Point&gt;&lt;/Placemark&gt;</v>
      </c>
    </row>
    <row r="20" spans="1:6" x14ac:dyDescent="0.35">
      <c r="A20" s="1">
        <f>COUNTA(A$12:A19)-1</f>
        <v>7</v>
      </c>
      <c r="B20" s="3">
        <f t="shared" si="4"/>
        <v>-126</v>
      </c>
      <c r="C20" s="4">
        <f t="shared" si="0"/>
        <v>15.349175494033517</v>
      </c>
      <c r="D20" s="4">
        <f t="shared" si="1"/>
        <v>-0.60523319744209125</v>
      </c>
      <c r="E20" s="5">
        <f t="shared" si="2"/>
        <v>15.35</v>
      </c>
      <c r="F20" t="str">
        <f t="shared" si="3"/>
        <v>&lt;Placemark&gt;&lt;name&gt;15.35,-126&lt;/name&gt;&lt;Point&gt;&lt;coordinates&gt;-126,15.35,0&lt;/coordinates&gt;&lt;/Point&gt;&lt;/Placemark&gt;</v>
      </c>
    </row>
    <row r="21" spans="1:6" x14ac:dyDescent="0.35">
      <c r="A21" s="1">
        <f>COUNTA(A$12:A20)-1</f>
        <v>8</v>
      </c>
      <c r="B21" s="3">
        <f t="shared" si="4"/>
        <v>-126.25</v>
      </c>
      <c r="C21" s="4">
        <f t="shared" si="0"/>
        <v>14.740132119372003</v>
      </c>
      <c r="D21" s="4">
        <f t="shared" si="1"/>
        <v>-0.60904337466151404</v>
      </c>
      <c r="E21" s="5">
        <f t="shared" si="2"/>
        <v>14.74</v>
      </c>
      <c r="F21" t="str">
        <f t="shared" si="3"/>
        <v>&lt;Placemark&gt;&lt;name&gt;14.74,-126.25&lt;/name&gt;&lt;Point&gt;&lt;coordinates&gt;-126.25,14.74,0&lt;/coordinates&gt;&lt;/Point&gt;&lt;/Placemark&gt;</v>
      </c>
    </row>
    <row r="22" spans="1:6" x14ac:dyDescent="0.35">
      <c r="A22" s="1">
        <f>COUNTA(A$12:A21)-1</f>
        <v>9</v>
      </c>
      <c r="B22" s="3">
        <f t="shared" si="4"/>
        <v>-126.5</v>
      </c>
      <c r="C22" s="4">
        <f t="shared" si="0"/>
        <v>14.127393273187911</v>
      </c>
      <c r="D22" s="4">
        <f t="shared" si="1"/>
        <v>-0.61273884618409191</v>
      </c>
      <c r="E22" s="5">
        <f t="shared" si="2"/>
        <v>14.13</v>
      </c>
      <c r="F22" t="str">
        <f t="shared" si="3"/>
        <v>&lt;Placemark&gt;&lt;name&gt;14.13,-126.5&lt;/name&gt;&lt;Point&gt;&lt;coordinates&gt;-126.5,14.13,0&lt;/coordinates&gt;&lt;/Point&gt;&lt;/Placemark&gt;</v>
      </c>
    </row>
    <row r="23" spans="1:6" x14ac:dyDescent="0.35">
      <c r="A23" s="1">
        <f>COUNTA(A$12:A22)-1</f>
        <v>10</v>
      </c>
      <c r="B23" s="3">
        <f t="shared" si="4"/>
        <v>-126.75</v>
      </c>
      <c r="C23" s="4">
        <f t="shared" si="0"/>
        <v>13.511078565287194</v>
      </c>
      <c r="D23" s="4">
        <f t="shared" si="1"/>
        <v>-0.61631470790071674</v>
      </c>
      <c r="E23" s="5">
        <f t="shared" si="2"/>
        <v>13.51</v>
      </c>
      <c r="F23" t="str">
        <f t="shared" si="3"/>
        <v>&lt;Placemark&gt;&lt;name&gt;13.51,-126.75&lt;/name&gt;&lt;Point&gt;&lt;coordinates&gt;-126.75,13.51,0&lt;/coordinates&gt;&lt;/Point&gt;&lt;/Placemark&gt;</v>
      </c>
    </row>
    <row r="24" spans="1:6" x14ac:dyDescent="0.35">
      <c r="A24" s="1">
        <f>COUNTA(A$12:A23)-1</f>
        <v>11</v>
      </c>
      <c r="B24" s="3">
        <f t="shared" si="4"/>
        <v>-127</v>
      </c>
      <c r="C24" s="4">
        <f t="shared" si="0"/>
        <v>12.89131243809676</v>
      </c>
      <c r="D24" s="4">
        <f t="shared" si="1"/>
        <v>-0.61976612719043445</v>
      </c>
      <c r="E24" s="5">
        <f t="shared" si="2"/>
        <v>12.89</v>
      </c>
      <c r="F24" t="str">
        <f t="shared" si="3"/>
        <v>&lt;Placemark&gt;&lt;name&gt;12.89,-127&lt;/name&gt;&lt;Point&gt;&lt;coordinates&gt;-127,12.89,0&lt;/coordinates&gt;&lt;/Point&gt;&lt;/Placemark&gt;</v>
      </c>
    </row>
    <row r="25" spans="1:6" x14ac:dyDescent="0.35">
      <c r="A25" s="1">
        <f>COUNTA(A$12:A24)-1</f>
        <v>12</v>
      </c>
      <c r="B25" s="3">
        <f t="shared" si="4"/>
        <v>-127.25</v>
      </c>
      <c r="C25" s="4">
        <f t="shared" si="0"/>
        <v>12.268224080496212</v>
      </c>
      <c r="D25" s="4">
        <f t="shared" si="1"/>
        <v>-0.62308835760054748</v>
      </c>
      <c r="E25" s="5">
        <f t="shared" si="2"/>
        <v>12.27</v>
      </c>
      <c r="F25" t="str">
        <f t="shared" si="3"/>
        <v>&lt;Placemark&gt;&lt;name&gt;12.27,-127.25&lt;/name&gt;&lt;Point&gt;&lt;coordinates&gt;-127.25,12.27,0&lt;/coordinates&gt;&lt;/Point&gt;&lt;/Placemark&gt;</v>
      </c>
    </row>
    <row r="26" spans="1:6" x14ac:dyDescent="0.35">
      <c r="A26" s="1">
        <f>COUNTA(A$12:A25)-1</f>
        <v>13</v>
      </c>
      <c r="B26" s="3">
        <f t="shared" si="4"/>
        <v>-127.5</v>
      </c>
      <c r="C26" s="4">
        <f t="shared" si="0"/>
        <v>11.641947326812241</v>
      </c>
      <c r="D26" s="4">
        <f t="shared" si="1"/>
        <v>-0.62627675368397107</v>
      </c>
      <c r="E26" s="5">
        <f t="shared" si="2"/>
        <v>11.64</v>
      </c>
      <c r="F26" t="str">
        <f t="shared" si="3"/>
        <v>&lt;Placemark&gt;&lt;name&gt;11.64,-127.5&lt;/name&gt;&lt;Point&gt;&lt;coordinates&gt;-127.5,11.64,0&lt;/coordinates&gt;&lt;/Point&gt;&lt;/Placemark&gt;</v>
      </c>
    </row>
    <row r="27" spans="1:6" x14ac:dyDescent="0.35">
      <c r="A27" s="1">
        <f>COUNTA(A$12:A26)-1</f>
        <v>14</v>
      </c>
      <c r="B27" s="3">
        <f t="shared" si="4"/>
        <v>-127.75</v>
      </c>
      <c r="C27" s="4">
        <f t="shared" si="0"/>
        <v>11.01262054089444</v>
      </c>
      <c r="D27" s="4">
        <f t="shared" si="1"/>
        <v>-0.62932678591780089</v>
      </c>
      <c r="E27" s="5">
        <f t="shared" si="2"/>
        <v>11.01</v>
      </c>
      <c r="F27" t="str">
        <f t="shared" si="3"/>
        <v>&lt;Placemark&gt;&lt;name&gt;11.01,-127.75&lt;/name&gt;&lt;Point&gt;&lt;coordinates&gt;-127.75,11.01,0&lt;/coordinates&gt;&lt;/Point&gt;&lt;/Placemark&gt;</v>
      </c>
    </row>
    <row r="28" spans="1:6" x14ac:dyDescent="0.35">
      <c r="A28" s="1">
        <f>COUNTA(A$12:A27)-1</f>
        <v>15</v>
      </c>
      <c r="B28" s="3">
        <f t="shared" si="4"/>
        <v>-128</v>
      </c>
      <c r="C28" s="4">
        <f t="shared" si="0"/>
        <v>10.380386485269625</v>
      </c>
      <c r="D28" s="4">
        <f t="shared" si="1"/>
        <v>-0.63223405562481538</v>
      </c>
      <c r="E28" s="5">
        <f t="shared" si="2"/>
        <v>10.38</v>
      </c>
      <c r="F28" t="str">
        <f t="shared" si="3"/>
        <v>&lt;Placemark&gt;&lt;name&gt;10.38,-128&lt;/name&gt;&lt;Point&gt;&lt;coordinates&gt;-128,10.38,0&lt;/coordinates&gt;&lt;/Point&gt;&lt;/Placemark&gt;</v>
      </c>
    </row>
    <row r="29" spans="1:6" x14ac:dyDescent="0.35">
      <c r="A29" s="1">
        <f>COUNTA(A$12:A28)-1</f>
        <v>16</v>
      </c>
      <c r="B29" s="3">
        <f t="shared" si="4"/>
        <v>-128.25</v>
      </c>
      <c r="C29" s="4">
        <f t="shared" si="0"/>
        <v>9.7453921754578801</v>
      </c>
      <c r="D29" s="4">
        <f t="shared" si="1"/>
        <v>-0.63499430981174498</v>
      </c>
      <c r="E29" s="5">
        <f t="shared" si="2"/>
        <v>9.75</v>
      </c>
      <c r="F29" t="str">
        <f t="shared" si="3"/>
        <v>&lt;Placemark&gt;&lt;name&gt;9.75,-128.25&lt;/name&gt;&lt;Point&gt;&lt;coordinates&gt;-128.25,9.75,0&lt;/coordinates&gt;&lt;/Point&gt;&lt;/Placemark&gt;</v>
      </c>
    </row>
    <row r="30" spans="1:6" x14ac:dyDescent="0.35">
      <c r="A30" s="1">
        <f>COUNTA(A$12:A29)-1</f>
        <v>17</v>
      </c>
      <c r="B30" s="3">
        <f t="shared" si="4"/>
        <v>-128.5</v>
      </c>
      <c r="C30" s="4">
        <f t="shared" si="0"/>
        <v>9.1077887196164546</v>
      </c>
      <c r="D30" s="4">
        <f t="shared" si="1"/>
        <v>-0.63760345584142541</v>
      </c>
      <c r="E30" s="5">
        <f t="shared" si="2"/>
        <v>9.11</v>
      </c>
      <c r="F30" t="str">
        <f t="shared" si="3"/>
        <v>&lt;Placemark&gt;&lt;name&gt;9.11,-128.5&lt;/name&gt;&lt;Point&gt;&lt;coordinates&gt;-128.5,9.11,0&lt;/coordinates&gt;&lt;/Point&gt;&lt;/Placemark&gt;</v>
      </c>
    </row>
    <row r="31" spans="1:6" x14ac:dyDescent="0.35">
      <c r="A31" s="1">
        <f>COUNTA(A$12:A30)-1</f>
        <v>18</v>
      </c>
      <c r="B31" s="3">
        <f t="shared" si="4"/>
        <v>-128.75</v>
      </c>
      <c r="C31" s="4">
        <f t="shared" si="0"/>
        <v>8.4677311437677112</v>
      </c>
      <c r="D31" s="4">
        <f t="shared" si="1"/>
        <v>-0.64005757584874345</v>
      </c>
      <c r="E31" s="5">
        <f t="shared" si="2"/>
        <v>8.4700000000000006</v>
      </c>
      <c r="F31" t="str">
        <f t="shared" si="3"/>
        <v>&lt;Placemark&gt;&lt;name&gt;8.47,-128.75&lt;/name&gt;&lt;Point&gt;&lt;coordinates&gt;-128.75,8.47,0&lt;/coordinates&gt;&lt;/Point&gt;&lt;/Placemark&gt;</v>
      </c>
    </row>
    <row r="32" spans="1:6" x14ac:dyDescent="0.35">
      <c r="A32" s="1">
        <f>COUNTA(A$12:A31)-1</f>
        <v>19</v>
      </c>
      <c r="B32" s="3">
        <f t="shared" si="4"/>
        <v>-129</v>
      </c>
      <c r="C32" s="4">
        <f t="shared" si="0"/>
        <v>7.8253782029566601</v>
      </c>
      <c r="D32" s="4">
        <f t="shared" si="1"/>
        <v>-0.6423529408110511</v>
      </c>
      <c r="E32" s="5">
        <f t="shared" si="2"/>
        <v>7.83</v>
      </c>
      <c r="F32" t="str">
        <f t="shared" si="3"/>
        <v>&lt;Placemark&gt;&lt;name&gt;7.83,-129&lt;/name&gt;&lt;Point&gt;&lt;coordinates&gt;-129,7.83,0&lt;/coordinates&gt;&lt;/Point&gt;&lt;/Placemark&gt;</v>
      </c>
    </row>
    <row r="33" spans="1:6" x14ac:dyDescent="0.35">
      <c r="A33" s="1">
        <f>COUNTA(A$12:A32)-1</f>
        <v>20</v>
      </c>
      <c r="B33" s="3">
        <f t="shared" si="4"/>
        <v>-129.25</v>
      </c>
      <c r="C33" s="4">
        <f t="shared" si="0"/>
        <v>7.180892178770593</v>
      </c>
      <c r="D33" s="4">
        <f t="shared" si="1"/>
        <v>-0.64448602418606704</v>
      </c>
      <c r="E33" s="5">
        <f t="shared" si="2"/>
        <v>7.18</v>
      </c>
      <c r="F33" t="str">
        <f t="shared" si="3"/>
        <v>&lt;Placemark&gt;&lt;name&gt;7.18,-129.25&lt;/name&gt;&lt;Point&gt;&lt;coordinates&gt;-129.25,7.18,0&lt;/coordinates&gt;&lt;/Point&gt;&lt;/Placemark&gt;</v>
      </c>
    </row>
    <row r="34" spans="1:6" x14ac:dyDescent="0.35">
      <c r="A34" s="1">
        <f>COUNTA(A$12:A33)-1</f>
        <v>21</v>
      </c>
      <c r="B34" s="3">
        <f t="shared" si="4"/>
        <v>-129.5</v>
      </c>
      <c r="C34" s="4">
        <f t="shared" si="0"/>
        <v>6.5344386637461662</v>
      </c>
      <c r="D34" s="4">
        <f t="shared" si="1"/>
        <v>-0.64645351502442683</v>
      </c>
      <c r="E34" s="5">
        <f t="shared" si="2"/>
        <v>6.53</v>
      </c>
      <c r="F34" t="str">
        <f t="shared" si="3"/>
        <v>&lt;Placemark&gt;&lt;name&gt;6.53,-129.5&lt;/name&gt;&lt;Point&gt;&lt;coordinates&gt;-129.5,6.53,0&lt;/coordinates&gt;&lt;/Point&gt;&lt;/Placemark&gt;</v>
      </c>
    </row>
    <row r="35" spans="1:6" x14ac:dyDescent="0.35">
      <c r="A35" s="1">
        <f>COUNTA(A$12:A34)-1</f>
        <v>22</v>
      </c>
      <c r="B35" s="3">
        <f t="shared" si="4"/>
        <v>-129.75</v>
      </c>
      <c r="C35" s="4">
        <f t="shared" si="0"/>
        <v>5.8861863332734581</v>
      </c>
      <c r="D35" s="4">
        <f t="shared" si="1"/>
        <v>-0.64825233047270814</v>
      </c>
      <c r="E35" s="5">
        <f t="shared" si="2"/>
        <v>5.89</v>
      </c>
      <c r="F35" t="str">
        <f t="shared" si="3"/>
        <v>&lt;Placemark&gt;&lt;name&gt;5.89,-129.75&lt;/name&gt;&lt;Point&gt;&lt;coordinates&gt;-129.75,5.89,0&lt;/coordinates&gt;&lt;/Point&gt;&lt;/Placemark&gt;</v>
      </c>
    </row>
    <row r="36" spans="1:6" x14ac:dyDescent="0.35">
      <c r="A36" s="1">
        <f>COUNTA(A$12:A35)-1</f>
        <v>23</v>
      </c>
      <c r="B36" s="3">
        <f t="shared" si="4"/>
        <v>-130</v>
      </c>
      <c r="C36" s="4">
        <f t="shared" si="0"/>
        <v>5.2363067056941333</v>
      </c>
      <c r="D36" s="4">
        <f t="shared" si="1"/>
        <v>-0.64987962757932483</v>
      </c>
      <c r="E36" s="5">
        <f t="shared" si="2"/>
        <v>5.24</v>
      </c>
      <c r="F36" t="str">
        <f t="shared" si="3"/>
        <v>&lt;Placemark&gt;&lt;name&gt;5.24,-130&lt;/name&gt;&lt;Point&gt;&lt;coordinates&gt;-130,5.24,0&lt;/coordinates&gt;&lt;/Point&gt;&lt;/Placemark&gt;</v>
      </c>
    </row>
    <row r="37" spans="1:6" x14ac:dyDescent="0.35">
      <c r="A37" s="1">
        <f>COUNTA(A$12:A36)-1</f>
        <v>24</v>
      </c>
      <c r="B37" s="3">
        <f t="shared" si="4"/>
        <v>-130.25</v>
      </c>
      <c r="C37" s="4">
        <f t="shared" si="0"/>
        <v>4.5849738913730169</v>
      </c>
      <c r="D37" s="4">
        <f t="shared" si="1"/>
        <v>-0.65133281432111634</v>
      </c>
      <c r="E37" s="5">
        <f t="shared" si="2"/>
        <v>4.58</v>
      </c>
      <c r="F37" t="str">
        <f t="shared" si="3"/>
        <v>&lt;Placemark&gt;&lt;name&gt;4.58,-130.25&lt;/name&gt;&lt;Point&gt;&lt;coordinates&gt;-130.25,4.58,0&lt;/coordinates&gt;&lt;/Point&gt;&lt;/Placemark&gt;</v>
      </c>
    </row>
    <row r="38" spans="1:6" x14ac:dyDescent="0.35">
      <c r="A38" s="1">
        <f>COUNTA(A$12:A37)-1</f>
        <v>25</v>
      </c>
      <c r="B38" s="3">
        <f t="shared" si="4"/>
        <v>-130.5</v>
      </c>
      <c r="C38" s="4">
        <f t="shared" si="0"/>
        <v>3.9323643315987171</v>
      </c>
      <c r="D38" s="4">
        <f t="shared" si="1"/>
        <v>-0.6526095597742998</v>
      </c>
      <c r="E38" s="5">
        <f t="shared" si="2"/>
        <v>3.93</v>
      </c>
      <c r="F38" t="str">
        <f t="shared" si="3"/>
        <v>&lt;Placemark&gt;&lt;name&gt;3.93,-130.5&lt;/name&gt;&lt;Point&gt;&lt;coordinates&gt;-130.5,3.93,0&lt;/coordinates&gt;&lt;/Point&gt;&lt;/Placemark&gt;</v>
      </c>
    </row>
    <row r="39" spans="1:6" x14ac:dyDescent="0.35">
      <c r="A39" s="1">
        <f>COUNTA(A$12:A38)-1</f>
        <v>26</v>
      </c>
      <c r="B39" s="3">
        <f t="shared" si="4"/>
        <v>-130.75</v>
      </c>
      <c r="C39" s="4">
        <f t="shared" si="0"/>
        <v>3.2786565282444329</v>
      </c>
      <c r="D39" s="4">
        <f t="shared" si="1"/>
        <v>-0.65370780335428424</v>
      </c>
      <c r="E39" s="5">
        <f t="shared" si="2"/>
        <v>3.28</v>
      </c>
      <c r="F39" t="str">
        <f t="shared" si="3"/>
        <v>&lt;Placemark&gt;&lt;name&gt;3.28,-130.75&lt;/name&gt;&lt;Point&gt;&lt;coordinates&gt;-130.75,3.28,0&lt;/coordinates&gt;&lt;/Point&gt;&lt;/Placemark&gt;</v>
      </c>
    </row>
    <row r="40" spans="1:6" x14ac:dyDescent="0.35">
      <c r="A40" s="1">
        <f>COUNTA(A$12:A39)-1</f>
        <v>27</v>
      </c>
      <c r="B40" s="3">
        <f t="shared" si="4"/>
        <v>-131</v>
      </c>
      <c r="C40" s="4">
        <f t="shared" si="0"/>
        <v>2.6240307651868924</v>
      </c>
      <c r="D40" s="4">
        <f t="shared" si="1"/>
        <v>-0.6546257630575405</v>
      </c>
      <c r="E40" s="5">
        <f t="shared" si="2"/>
        <v>2.62</v>
      </c>
      <c r="F40" t="str">
        <f t="shared" si="3"/>
        <v>&lt;Placemark&gt;&lt;name&gt;2.62,-131&lt;/name&gt;&lt;Point&gt;&lt;coordinates&gt;-131,2.62,0&lt;/coordinates&gt;&lt;/Point&gt;&lt;/Placemark&gt;</v>
      </c>
    </row>
    <row r="41" spans="1:6" x14ac:dyDescent="0.35">
      <c r="A41" s="1">
        <f>COUNTA(A$12:A40)-1</f>
        <v>28</v>
      </c>
      <c r="B41" s="3">
        <f t="shared" si="4"/>
        <v>-131.25</v>
      </c>
      <c r="C41" s="4">
        <f t="shared" si="0"/>
        <v>1.9686688225403481</v>
      </c>
      <c r="D41" s="4">
        <f t="shared" si="1"/>
        <v>-0.65536194264654424</v>
      </c>
      <c r="E41" s="5">
        <f t="shared" si="2"/>
        <v>1.97</v>
      </c>
      <c r="F41" t="str">
        <f t="shared" si="3"/>
        <v>&lt;Placemark&gt;&lt;name&gt;1.97,-131.25&lt;/name&gt;&lt;Point&gt;&lt;coordinates&gt;-131.25,1.97,0&lt;/coordinates&gt;&lt;/Point&gt;&lt;/Placemark&gt;</v>
      </c>
    </row>
    <row r="42" spans="1:6" x14ac:dyDescent="0.35">
      <c r="A42" s="1">
        <f>COUNTA(A$12:A41)-1</f>
        <v>29</v>
      </c>
      <c r="B42" s="3">
        <f t="shared" si="4"/>
        <v>-131.5</v>
      </c>
      <c r="C42" s="4">
        <f t="shared" si="0"/>
        <v>1.3127536848200443</v>
      </c>
      <c r="D42" s="4">
        <f t="shared" si="1"/>
        <v>-0.65591513772030385</v>
      </c>
      <c r="E42" s="5">
        <f t="shared" si="2"/>
        <v>1.31</v>
      </c>
      <c r="F42" t="str">
        <f t="shared" si="3"/>
        <v>&lt;Placemark&gt;&lt;name&gt;1.31,-131.5&lt;/name&gt;&lt;Point&gt;&lt;coordinates&gt;-131.5,1.31,0&lt;/coordinates&gt;&lt;/Point&gt;&lt;/Placemark&gt;</v>
      </c>
    </row>
    <row r="43" spans="1:6" x14ac:dyDescent="0.35">
      <c r="A43" s="1">
        <f>COUNTA(A$12:A42)-1</f>
        <v>30</v>
      </c>
      <c r="B43" s="3">
        <f t="shared" si="4"/>
        <v>-131.75</v>
      </c>
      <c r="C43" s="4">
        <f t="shared" si="0"/>
        <v>0.65646924419132513</v>
      </c>
      <c r="D43" s="4">
        <f t="shared" si="1"/>
        <v>-0.65628444062871916</v>
      </c>
      <c r="E43" s="5">
        <f t="shared" si="2"/>
        <v>0.66</v>
      </c>
      <c r="F43" t="str">
        <f t="shared" si="3"/>
        <v>&lt;Placemark&gt;&lt;name&gt;0.66,-131.75&lt;/name&gt;&lt;Point&gt;&lt;coordinates&gt;-131.75,0.66,0&lt;/coordinates&gt;&lt;/Point&gt;&lt;/Placemark&gt;</v>
      </c>
    </row>
    <row r="44" spans="1:6" x14ac:dyDescent="0.35">
      <c r="A44" s="1">
        <f>COUNTA(A$12:A43)-1</f>
        <v>31</v>
      </c>
      <c r="B44" s="3">
        <f t="shared" si="4"/>
        <v>-132</v>
      </c>
      <c r="C44" s="4">
        <f t="shared" si="0"/>
        <v>1.2722218725854067E-14</v>
      </c>
      <c r="D44" s="4">
        <f t="shared" si="1"/>
        <v>-0.65646924419131236</v>
      </c>
      <c r="E44" s="5">
        <f t="shared" si="2"/>
        <v>0</v>
      </c>
      <c r="F44" t="str">
        <f t="shared" si="3"/>
        <v>&lt;Placemark&gt;&lt;name&gt;0,-132&lt;/name&gt;&lt;Point&gt;&lt;coordinates&gt;-132,0,0&lt;/coordinates&gt;&lt;/Point&gt;&lt;/Placemark&gt;</v>
      </c>
    </row>
    <row r="45" spans="1:6" x14ac:dyDescent="0.35">
      <c r="A45" s="1">
        <f>COUNTA(A$12:A44)-1</f>
        <v>32</v>
      </c>
      <c r="B45" s="3">
        <f t="shared" si="4"/>
        <v>-132.25</v>
      </c>
      <c r="C45" s="4">
        <f t="shared" si="0"/>
        <v>-0.65646924419123609</v>
      </c>
      <c r="D45" s="4">
        <f t="shared" si="1"/>
        <v>-0.65646924419124886</v>
      </c>
      <c r="E45" s="5">
        <f t="shared" si="2"/>
        <v>-0.66</v>
      </c>
      <c r="F45" t="str">
        <f t="shared" si="3"/>
        <v>&lt;Placemark&gt;&lt;name&gt;-0.66,-132.25&lt;/name&gt;&lt;Point&gt;&lt;coordinates&gt;-132.25,-0.66,0&lt;/coordinates&gt;&lt;/Point&gt;&lt;/Placemark&gt;</v>
      </c>
    </row>
    <row r="46" spans="1:6" x14ac:dyDescent="0.35">
      <c r="A46" s="1">
        <f>COUNTA(A$12:A45)-1</f>
        <v>33</v>
      </c>
      <c r="B46" s="3">
        <f t="shared" si="4"/>
        <v>-132.5</v>
      </c>
      <c r="C46" s="4">
        <f t="shared" si="0"/>
        <v>-1.3127536848200569</v>
      </c>
      <c r="D46" s="4">
        <f t="shared" si="1"/>
        <v>-0.65628444062882085</v>
      </c>
      <c r="E46" s="5">
        <f t="shared" si="2"/>
        <v>-1.31</v>
      </c>
      <c r="F46" t="str">
        <f t="shared" si="3"/>
        <v>&lt;Placemark&gt;&lt;name&gt;-1.31,-132.5&lt;/name&gt;&lt;Point&gt;&lt;coordinates&gt;-132.5,-1.31,0&lt;/coordinates&gt;&lt;/Point&gt;&lt;/Placemark&gt;</v>
      </c>
    </row>
    <row r="47" spans="1:6" x14ac:dyDescent="0.35">
      <c r="A47" s="1">
        <f>COUNTA(A$12:A46)-1</f>
        <v>34</v>
      </c>
      <c r="B47" s="3">
        <f t="shared" si="4"/>
        <v>-132.75</v>
      </c>
      <c r="C47" s="4">
        <f t="shared" si="0"/>
        <v>-1.968668822540323</v>
      </c>
      <c r="D47" s="4">
        <f t="shared" si="1"/>
        <v>-0.65591513772026611</v>
      </c>
      <c r="E47" s="5">
        <f t="shared" si="2"/>
        <v>-1.97</v>
      </c>
      <c r="F47" t="str">
        <f t="shared" si="3"/>
        <v>&lt;Placemark&gt;&lt;name&gt;-1.97,-132.75&lt;/name&gt;&lt;Point&gt;&lt;coordinates&gt;-132.75,-1.97,0&lt;/coordinates&gt;&lt;/Point&gt;&lt;/Placemark&gt;</v>
      </c>
    </row>
    <row r="48" spans="1:6" x14ac:dyDescent="0.35">
      <c r="A48" s="1">
        <f>COUNTA(A$12:A47)-1</f>
        <v>35</v>
      </c>
      <c r="B48" s="3">
        <f t="shared" si="4"/>
        <v>-133</v>
      </c>
      <c r="C48" s="4">
        <f t="shared" si="0"/>
        <v>-2.6240307651868036</v>
      </c>
      <c r="D48" s="4">
        <f t="shared" si="1"/>
        <v>-0.65536194264648051</v>
      </c>
      <c r="E48" s="5">
        <f t="shared" si="2"/>
        <v>-2.62</v>
      </c>
      <c r="F48" t="str">
        <f t="shared" si="3"/>
        <v>&lt;Placemark&gt;&lt;name&gt;-2.62,-133&lt;/name&gt;&lt;Point&gt;&lt;coordinates&gt;-133,-2.62,0&lt;/coordinates&gt;&lt;/Point&gt;&lt;/Placemark&gt;</v>
      </c>
    </row>
    <row r="49" spans="1:6" x14ac:dyDescent="0.35">
      <c r="A49" s="1">
        <f>COUNTA(A$12:A48)-1</f>
        <v>36</v>
      </c>
      <c r="B49" s="3">
        <f t="shared" si="4"/>
        <v>-133.25</v>
      </c>
      <c r="C49" s="4">
        <f t="shared" si="0"/>
        <v>-3.2786565282444329</v>
      </c>
      <c r="D49" s="4">
        <f t="shared" si="1"/>
        <v>-0.65462576305762932</v>
      </c>
      <c r="E49" s="5">
        <f t="shared" si="2"/>
        <v>-3.28</v>
      </c>
      <c r="F49" t="str">
        <f t="shared" si="3"/>
        <v>&lt;Placemark&gt;&lt;name&gt;-3.28,-133.25&lt;/name&gt;&lt;Point&gt;&lt;coordinates&gt;-133.25,-3.28,0&lt;/coordinates&gt;&lt;/Point&gt;&lt;/Placemark&gt;</v>
      </c>
    </row>
    <row r="50" spans="1:6" x14ac:dyDescent="0.35">
      <c r="A50" s="1">
        <f>COUNTA(A$12:A49)-1</f>
        <v>37</v>
      </c>
      <c r="B50" s="3">
        <f t="shared" si="4"/>
        <v>-133.5</v>
      </c>
      <c r="C50" s="4">
        <f t="shared" si="0"/>
        <v>-3.9323643315986159</v>
      </c>
      <c r="D50" s="4">
        <f t="shared" si="1"/>
        <v>-0.65370780335418299</v>
      </c>
      <c r="E50" s="5">
        <f t="shared" si="2"/>
        <v>-3.93</v>
      </c>
      <c r="F50" t="str">
        <f t="shared" si="3"/>
        <v>&lt;Placemark&gt;&lt;name&gt;-3.93,-133.5&lt;/name&gt;&lt;Point&gt;&lt;coordinates&gt;-133.5,-3.93,0&lt;/coordinates&gt;&lt;/Point&gt;&lt;/Placemark&gt;</v>
      </c>
    </row>
    <row r="51" spans="1:6" x14ac:dyDescent="0.35">
      <c r="A51" s="1">
        <f>COUNTA(A$12:A50)-1</f>
        <v>38</v>
      </c>
      <c r="B51" s="3">
        <f t="shared" si="4"/>
        <v>-133.75</v>
      </c>
      <c r="C51" s="4">
        <f t="shared" si="0"/>
        <v>-4.584973891372992</v>
      </c>
      <c r="D51" s="4">
        <f t="shared" si="1"/>
        <v>-0.65260955977437618</v>
      </c>
      <c r="E51" s="5">
        <f t="shared" si="2"/>
        <v>-4.58</v>
      </c>
      <c r="F51" t="str">
        <f t="shared" si="3"/>
        <v>&lt;Placemark&gt;&lt;name&gt;-4.58,-133.75&lt;/name&gt;&lt;Point&gt;&lt;coordinates&gt;-133.75,-4.58,0&lt;/coordinates&gt;&lt;/Point&gt;&lt;/Placemark&gt;</v>
      </c>
    </row>
    <row r="52" spans="1:6" x14ac:dyDescent="0.35">
      <c r="A52" s="1">
        <f>COUNTA(A$12:A51)-1</f>
        <v>39</v>
      </c>
      <c r="B52" s="3">
        <f t="shared" si="4"/>
        <v>-134</v>
      </c>
      <c r="C52" s="4">
        <f t="shared" si="0"/>
        <v>-5.2363067056941333</v>
      </c>
      <c r="D52" s="4">
        <f t="shared" si="1"/>
        <v>-0.65133281432114121</v>
      </c>
      <c r="E52" s="5">
        <f t="shared" si="2"/>
        <v>-5.24</v>
      </c>
      <c r="F52" t="str">
        <f t="shared" si="3"/>
        <v>&lt;Placemark&gt;&lt;name&gt;-5.24,-134&lt;/name&gt;&lt;Point&gt;&lt;coordinates&gt;-134,-5.24,0&lt;/coordinates&gt;&lt;/Point&gt;&lt;/Placemark&gt;</v>
      </c>
    </row>
    <row r="53" spans="1:6" x14ac:dyDescent="0.35">
      <c r="A53" s="1">
        <f>COUNTA(A$12:A52)-1</f>
        <v>40</v>
      </c>
      <c r="B53" s="3">
        <f t="shared" si="4"/>
        <v>-134.25</v>
      </c>
      <c r="C53" s="4">
        <f t="shared" si="0"/>
        <v>-5.8861863332733826</v>
      </c>
      <c r="D53" s="4">
        <f t="shared" si="1"/>
        <v>-0.64987962757924933</v>
      </c>
      <c r="E53" s="5">
        <f t="shared" si="2"/>
        <v>-5.89</v>
      </c>
      <c r="F53" t="str">
        <f t="shared" si="3"/>
        <v>&lt;Placemark&gt;&lt;name&gt;-5.89,-134.25&lt;/name&gt;&lt;Point&gt;&lt;coordinates&gt;-134.25,-5.89,0&lt;/coordinates&gt;&lt;/Point&gt;&lt;/Placemark&gt;</v>
      </c>
    </row>
    <row r="54" spans="1:6" x14ac:dyDescent="0.35">
      <c r="A54" s="1">
        <f>COUNTA(A$12:A53)-1</f>
        <v>41</v>
      </c>
      <c r="B54" s="3">
        <f t="shared" si="4"/>
        <v>-134.5</v>
      </c>
      <c r="C54" s="4">
        <f t="shared" si="0"/>
        <v>-6.5344386637461662</v>
      </c>
      <c r="D54" s="4">
        <f t="shared" si="1"/>
        <v>-0.64825233047278363</v>
      </c>
      <c r="E54" s="5">
        <f t="shared" si="2"/>
        <v>-6.53</v>
      </c>
      <c r="F54" t="str">
        <f t="shared" si="3"/>
        <v>&lt;Placemark&gt;&lt;name&gt;-6.53,-134.5&lt;/name&gt;&lt;Point&gt;&lt;coordinates&gt;-134.5,-6.53,0&lt;/coordinates&gt;&lt;/Point&gt;&lt;/Placemark&gt;</v>
      </c>
    </row>
    <row r="55" spans="1:6" x14ac:dyDescent="0.35">
      <c r="A55" s="1">
        <f>COUNTA(A$12:A54)-1</f>
        <v>42</v>
      </c>
      <c r="B55" s="3">
        <f t="shared" si="4"/>
        <v>-134.75</v>
      </c>
      <c r="C55" s="4">
        <f t="shared" si="0"/>
        <v>-7.1808921787705806</v>
      </c>
      <c r="D55" s="4">
        <f t="shared" si="1"/>
        <v>-0.64645351502441439</v>
      </c>
      <c r="E55" s="5">
        <f t="shared" si="2"/>
        <v>-7.18</v>
      </c>
      <c r="F55" t="str">
        <f t="shared" si="3"/>
        <v>&lt;Placemark&gt;&lt;name&gt;-7.18,-134.75&lt;/name&gt;&lt;Point&gt;&lt;coordinates&gt;-134.75,-7.18,0&lt;/coordinates&gt;&lt;/Point&gt;&lt;/Placemark&gt;</v>
      </c>
    </row>
    <row r="56" spans="1:6" x14ac:dyDescent="0.35">
      <c r="A56" s="1">
        <f>COUNTA(A$12:A55)-1</f>
        <v>43</v>
      </c>
      <c r="B56" s="3">
        <f t="shared" si="4"/>
        <v>-135</v>
      </c>
      <c r="C56" s="4">
        <f t="shared" si="0"/>
        <v>-7.8253782029565846</v>
      </c>
      <c r="D56" s="4">
        <f t="shared" si="1"/>
        <v>-0.64448602418600398</v>
      </c>
      <c r="E56" s="5">
        <f t="shared" si="2"/>
        <v>-7.83</v>
      </c>
      <c r="F56" t="str">
        <f t="shared" si="3"/>
        <v>&lt;Placemark&gt;&lt;name&gt;-7.83,-135&lt;/name&gt;&lt;Point&gt;&lt;coordinates&gt;-135,-7.83,0&lt;/coordinates&gt;&lt;/Point&gt;&lt;/Placemark&gt;</v>
      </c>
    </row>
    <row r="57" spans="1:6" x14ac:dyDescent="0.35">
      <c r="A57" s="1">
        <f>COUNTA(A$12:A56)-1</f>
        <v>44</v>
      </c>
      <c r="B57" s="3">
        <f t="shared" si="4"/>
        <v>-135.25</v>
      </c>
      <c r="C57" s="4">
        <f t="shared" si="0"/>
        <v>-8.4677311437676988</v>
      </c>
      <c r="D57" s="4">
        <f t="shared" si="1"/>
        <v>-0.64235294081111416</v>
      </c>
      <c r="E57" s="5">
        <f t="shared" si="2"/>
        <v>-8.4700000000000006</v>
      </c>
      <c r="F57" t="str">
        <f t="shared" si="3"/>
        <v>&lt;Placemark&gt;&lt;name&gt;-8.47,-135.25&lt;/name&gt;&lt;Point&gt;&lt;coordinates&gt;-135.25,-8.47,0&lt;/coordinates&gt;&lt;/Point&gt;&lt;/Placemark&gt;</v>
      </c>
    </row>
    <row r="58" spans="1:6" x14ac:dyDescent="0.35">
      <c r="A58" s="1">
        <f>COUNTA(A$12:A57)-1</f>
        <v>45</v>
      </c>
      <c r="B58" s="3">
        <f t="shared" si="4"/>
        <v>-135.5</v>
      </c>
      <c r="C58" s="4">
        <f t="shared" si="0"/>
        <v>-9.1077887196163676</v>
      </c>
      <c r="D58" s="4">
        <f t="shared" si="1"/>
        <v>-0.64005757584866885</v>
      </c>
      <c r="E58" s="5">
        <f t="shared" si="2"/>
        <v>-9.11</v>
      </c>
      <c r="F58" t="str">
        <f t="shared" si="3"/>
        <v>&lt;Placemark&gt;&lt;name&gt;-9.11,-135.5&lt;/name&gt;&lt;Point&gt;&lt;coordinates&gt;-135.5,-9.11,0&lt;/coordinates&gt;&lt;/Point&gt;&lt;/Placemark&gt;</v>
      </c>
    </row>
    <row r="59" spans="1:6" x14ac:dyDescent="0.35">
      <c r="A59" s="1">
        <f>COUNTA(A$12:A58)-1</f>
        <v>46</v>
      </c>
      <c r="B59" s="3">
        <f t="shared" si="4"/>
        <v>-135.75</v>
      </c>
      <c r="C59" s="4">
        <f t="shared" si="0"/>
        <v>-9.7453921754578801</v>
      </c>
      <c r="D59" s="4">
        <f t="shared" si="1"/>
        <v>-0.63760345584151246</v>
      </c>
      <c r="E59" s="5">
        <f t="shared" si="2"/>
        <v>-9.75</v>
      </c>
      <c r="F59" t="str">
        <f t="shared" si="3"/>
        <v>&lt;Placemark&gt;&lt;name&gt;-9.75,-135.75&lt;/name&gt;&lt;Point&gt;&lt;coordinates&gt;-135.75,-9.75,0&lt;/coordinates&gt;&lt;/Point&gt;&lt;/Placemark&gt;</v>
      </c>
    </row>
    <row r="60" spans="1:6" x14ac:dyDescent="0.35">
      <c r="A60" s="1">
        <f>COUNTA(A$12:A59)-1</f>
        <v>47</v>
      </c>
      <c r="B60" s="3">
        <f t="shared" si="4"/>
        <v>-136</v>
      </c>
      <c r="C60" s="4">
        <f t="shared" si="0"/>
        <v>-10.380386485269613</v>
      </c>
      <c r="D60" s="4">
        <f t="shared" si="1"/>
        <v>-0.63499430981173255</v>
      </c>
      <c r="E60" s="5">
        <f t="shared" si="2"/>
        <v>-10.38</v>
      </c>
      <c r="F60" t="str">
        <f t="shared" si="3"/>
        <v>&lt;Placemark&gt;&lt;name&gt;-10.38,-136&lt;/name&gt;&lt;Point&gt;&lt;coordinates&gt;-136,-10.38,0&lt;/coordinates&gt;&lt;/Point&gt;&lt;/Placemark&gt;</v>
      </c>
    </row>
    <row r="61" spans="1:6" x14ac:dyDescent="0.35">
      <c r="A61" s="1">
        <f>COUNTA(A$12:A60)-1</f>
        <v>48</v>
      </c>
      <c r="B61" s="3">
        <f t="shared" si="4"/>
        <v>-136.25</v>
      </c>
      <c r="C61" s="4">
        <f t="shared" si="0"/>
        <v>-11.012620540894353</v>
      </c>
      <c r="D61" s="4">
        <f t="shared" si="1"/>
        <v>-0.63223405562474078</v>
      </c>
      <c r="E61" s="5">
        <f t="shared" si="2"/>
        <v>-11.01</v>
      </c>
      <c r="F61" t="str">
        <f t="shared" si="3"/>
        <v>&lt;Placemark&gt;&lt;name&gt;-11.01,-136.25&lt;/name&gt;&lt;Point&gt;&lt;coordinates&gt;-136.25,-11.01,0&lt;/coordinates&gt;&lt;/Point&gt;&lt;/Placemark&gt;</v>
      </c>
    </row>
    <row r="62" spans="1:6" x14ac:dyDescent="0.35">
      <c r="A62" s="1">
        <f>COUNTA(A$12:A61)-1</f>
        <v>49</v>
      </c>
      <c r="B62" s="3">
        <f t="shared" si="4"/>
        <v>-136.5</v>
      </c>
      <c r="C62" s="4">
        <f t="shared" si="0"/>
        <v>-11.641947326812229</v>
      </c>
      <c r="D62" s="4">
        <f t="shared" si="1"/>
        <v>-0.6293267859178755</v>
      </c>
      <c r="E62" s="5">
        <f t="shared" si="2"/>
        <v>-11.64</v>
      </c>
      <c r="F62" t="str">
        <f t="shared" si="3"/>
        <v>&lt;Placemark&gt;&lt;name&gt;-11.64,-136.5&lt;/name&gt;&lt;Point&gt;&lt;coordinates&gt;-136.5,-11.64,0&lt;/coordinates&gt;&lt;/Point&gt;&lt;/Placemark&gt;</v>
      </c>
    </row>
    <row r="63" spans="1:6" x14ac:dyDescent="0.35">
      <c r="A63" s="1">
        <f>COUNTA(A$12:A62)-1</f>
        <v>50</v>
      </c>
      <c r="B63" s="3">
        <f t="shared" si="4"/>
        <v>-136.75</v>
      </c>
      <c r="C63" s="4">
        <f t="shared" si="0"/>
        <v>-12.26822408049614</v>
      </c>
      <c r="D63" s="4">
        <f t="shared" si="1"/>
        <v>-0.62627675368391067</v>
      </c>
      <c r="E63" s="5">
        <f t="shared" si="2"/>
        <v>-12.27</v>
      </c>
      <c r="F63" t="str">
        <f t="shared" si="3"/>
        <v>&lt;Placemark&gt;&lt;name&gt;-12.27,-136.75&lt;/name&gt;&lt;Point&gt;&lt;coordinates&gt;-136.75,-12.27,0&lt;/coordinates&gt;&lt;/Point&gt;&lt;/Placemark&gt;</v>
      </c>
    </row>
    <row r="64" spans="1:6" x14ac:dyDescent="0.35">
      <c r="A64" s="1">
        <f>COUNTA(A$12:A63)-1</f>
        <v>51</v>
      </c>
      <c r="B64" s="3">
        <f t="shared" si="4"/>
        <v>-137</v>
      </c>
      <c r="C64" s="4">
        <f t="shared" si="0"/>
        <v>-12.891312438096735</v>
      </c>
      <c r="D64" s="4">
        <f t="shared" si="1"/>
        <v>-0.62308835760059544</v>
      </c>
      <c r="E64" s="5">
        <f t="shared" si="2"/>
        <v>-12.89</v>
      </c>
      <c r="F64" t="str">
        <f t="shared" si="3"/>
        <v>&lt;Placemark&gt;&lt;name&gt;-12.89,-137&lt;/name&gt;&lt;Point&gt;&lt;coordinates&gt;-137,-12.89,0&lt;/coordinates&gt;&lt;/Point&gt;&lt;/Placemark&gt;</v>
      </c>
    </row>
    <row r="65" spans="1:6" x14ac:dyDescent="0.35">
      <c r="A65" s="1">
        <f>COUNTA(A$12:A64)-1</f>
        <v>52</v>
      </c>
      <c r="B65" s="3">
        <f t="shared" si="4"/>
        <v>-137.25</v>
      </c>
      <c r="C65" s="4">
        <f t="shared" si="0"/>
        <v>-13.511078565287194</v>
      </c>
      <c r="D65" s="4">
        <f t="shared" si="1"/>
        <v>-0.61976612719045931</v>
      </c>
      <c r="E65" s="5">
        <f t="shared" si="2"/>
        <v>-13.51</v>
      </c>
      <c r="F65" t="str">
        <f t="shared" si="3"/>
        <v>&lt;Placemark&gt;&lt;name&gt;-13.51,-137.25&lt;/name&gt;&lt;Point&gt;&lt;coordinates&gt;-137.25,-13.51,0&lt;/coordinates&gt;&lt;/Point&gt;&lt;/Placemark&gt;</v>
      </c>
    </row>
    <row r="66" spans="1:6" x14ac:dyDescent="0.35">
      <c r="A66" s="1">
        <f>COUNTA(A$12:A65)-1</f>
        <v>53</v>
      </c>
      <c r="B66" s="3">
        <f t="shared" si="4"/>
        <v>-137.5</v>
      </c>
      <c r="C66" s="4">
        <f t="shared" si="0"/>
        <v>-14.127393273187852</v>
      </c>
      <c r="D66" s="4">
        <f t="shared" si="1"/>
        <v>-0.61631470790065812</v>
      </c>
      <c r="E66" s="5">
        <f t="shared" si="2"/>
        <v>-14.13</v>
      </c>
      <c r="F66" t="str">
        <f t="shared" si="3"/>
        <v>&lt;Placemark&gt;&lt;name&gt;-14.13,-137.5&lt;/name&gt;&lt;Point&gt;&lt;coordinates&gt;-137.5,-14.13,0&lt;/coordinates&gt;&lt;/Point&gt;&lt;/Placemark&gt;</v>
      </c>
    </row>
    <row r="67" spans="1:6" x14ac:dyDescent="0.35">
      <c r="A67" s="1">
        <f>COUNTA(A$12:A66)-1</f>
        <v>54</v>
      </c>
      <c r="B67" s="3">
        <f t="shared" si="4"/>
        <v>-137.75</v>
      </c>
      <c r="C67" s="4">
        <f t="shared" si="0"/>
        <v>-14.740132119372003</v>
      </c>
      <c r="D67" s="4">
        <f t="shared" si="1"/>
        <v>-0.61273884618415053</v>
      </c>
      <c r="E67" s="5">
        <f t="shared" si="2"/>
        <v>-14.74</v>
      </c>
      <c r="F67" t="str">
        <f t="shared" si="3"/>
        <v>&lt;Placemark&gt;&lt;name&gt;-14.74,-137.75&lt;/name&gt;&lt;Point&gt;&lt;coordinates&gt;-137.75,-14.74,0&lt;/coordinates&gt;&lt;/Point&gt;&lt;/Placemark&gt;</v>
      </c>
    </row>
    <row r="68" spans="1:6" x14ac:dyDescent="0.35">
      <c r="A68" s="1">
        <f>COUNTA(A$12:A67)-1</f>
        <v>55</v>
      </c>
      <c r="B68" s="3">
        <f t="shared" si="4"/>
        <v>-138</v>
      </c>
      <c r="C68" s="4">
        <f t="shared" si="0"/>
        <v>-15.349175494033444</v>
      </c>
      <c r="D68" s="4">
        <f t="shared" si="1"/>
        <v>-0.60904337466144121</v>
      </c>
      <c r="E68" s="5">
        <f t="shared" si="2"/>
        <v>-15.35</v>
      </c>
      <c r="F68" t="str">
        <f t="shared" si="3"/>
        <v>&lt;Placemark&gt;&lt;name&gt;-15.35,-138&lt;/name&gt;&lt;Point&gt;&lt;coordinates&gt;-138,-15.35,0&lt;/coordinates&gt;&lt;/Point&gt;&lt;/Placemark&gt;</v>
      </c>
    </row>
    <row r="69" spans="1:6" x14ac:dyDescent="0.35">
      <c r="A69" s="1">
        <f>COUNTA(A$12:A68)-1</f>
        <v>56</v>
      </c>
      <c r="B69" s="3">
        <f t="shared" si="4"/>
        <v>-138.25</v>
      </c>
      <c r="C69" s="4">
        <f t="shared" si="0"/>
        <v>-15.954408691475535</v>
      </c>
      <c r="D69" s="4">
        <f t="shared" si="1"/>
        <v>-0.60523319744209125</v>
      </c>
      <c r="E69" s="5">
        <f t="shared" si="2"/>
        <v>-15.95</v>
      </c>
      <c r="F69" t="str">
        <f t="shared" si="3"/>
        <v>&lt;Placemark&gt;&lt;name&gt;-15.95,-138.25&lt;/name&gt;&lt;Point&gt;&lt;coordinates&gt;-138.25,-15.95,0&lt;/coordinates&gt;&lt;/Point&gt;&lt;/Placemark&gt;</v>
      </c>
    </row>
    <row r="70" spans="1:6" x14ac:dyDescent="0.35">
      <c r="A70" s="1">
        <f>COUNTA(A$12:A69)-1</f>
        <v>57</v>
      </c>
      <c r="B70" s="3">
        <f t="shared" si="4"/>
        <v>-138.5</v>
      </c>
      <c r="C70" s="4">
        <f t="shared" si="0"/>
        <v>-16.555721967148997</v>
      </c>
      <c r="D70" s="4">
        <f t="shared" si="1"/>
        <v>-0.60131327567346204</v>
      </c>
      <c r="E70" s="5">
        <f t="shared" si="2"/>
        <v>-16.559999999999999</v>
      </c>
      <c r="F70" t="str">
        <f t="shared" si="3"/>
        <v>&lt;Placemark&gt;&lt;name&gt;-16.56,-138.5&lt;/name&gt;&lt;Point&gt;&lt;coordinates&gt;-138.5,-16.56,0&lt;/coordinates&gt;&lt;/Point&gt;&lt;/Placemark&gt;</v>
      </c>
    </row>
    <row r="71" spans="1:6" x14ac:dyDescent="0.35">
      <c r="A71" s="1">
        <f>COUNTA(A$12:A70)-1</f>
        <v>58</v>
      </c>
      <c r="B71" s="3">
        <f t="shared" si="4"/>
        <v>-138.75</v>
      </c>
      <c r="C71" s="4">
        <f t="shared" si="0"/>
        <v>-17.153010580536513</v>
      </c>
      <c r="D71" s="4">
        <f t="shared" si="1"/>
        <v>-0.59728861338751571</v>
      </c>
      <c r="E71" s="5">
        <f t="shared" si="2"/>
        <v>-17.149999999999999</v>
      </c>
      <c r="F71" t="str">
        <f t="shared" si="3"/>
        <v>&lt;Placemark&gt;&lt;name&gt;-17.15,-138.75&lt;/name&gt;&lt;Point&gt;&lt;coordinates&gt;-138.75,-17.15,0&lt;/coordinates&gt;&lt;/Point&gt;&lt;/Placemark&gt;</v>
      </c>
    </row>
    <row r="72" spans="1:6" x14ac:dyDescent="0.35">
      <c r="A72" s="1">
        <f>COUNTA(A$12:A71)-1</f>
        <v>59</v>
      </c>
      <c r="B72" s="3">
        <f t="shared" si="4"/>
        <v>-139</v>
      </c>
      <c r="C72" s="4">
        <f t="shared" si="0"/>
        <v>-17.746174824241017</v>
      </c>
      <c r="D72" s="4">
        <f t="shared" si="1"/>
        <v>-0.59316424370450349</v>
      </c>
      <c r="E72" s="5">
        <f t="shared" si="2"/>
        <v>-17.75</v>
      </c>
      <c r="F72" t="str">
        <f t="shared" si="3"/>
        <v>&lt;Placemark&gt;&lt;name&gt;-17.75,-139&lt;/name&gt;&lt;Point&gt;&lt;coordinates&gt;-139,-17.75,0&lt;/coordinates&gt;&lt;/Point&gt;&lt;/Placemark&gt;</v>
      </c>
    </row>
    <row r="73" spans="1:6" x14ac:dyDescent="0.35">
      <c r="A73" s="1">
        <f>COUNTA(A$12:A72)-1</f>
        <v>60</v>
      </c>
      <c r="B73" s="3">
        <f t="shared" si="4"/>
        <v>-139.25</v>
      </c>
      <c r="C73" s="4">
        <f t="shared" si="0"/>
        <v>-18.335120039691514</v>
      </c>
      <c r="D73" s="4">
        <f t="shared" si="1"/>
        <v>-0.58894521545049727</v>
      </c>
      <c r="E73" s="5">
        <f t="shared" si="2"/>
        <v>-18.34</v>
      </c>
      <c r="F73" t="str">
        <f t="shared" si="3"/>
        <v>&lt;Placemark&gt;&lt;name&gt;-18.34,-139.25&lt;/name&gt;&lt;Point&gt;&lt;coordinates&gt;-139.25,-18.34,0&lt;/coordinates&gt;&lt;/Point&gt;&lt;/Placemark&gt;</v>
      </c>
    </row>
    <row r="74" spans="1:6" x14ac:dyDescent="0.35">
      <c r="A74" s="1">
        <f>COUNTA(A$12:A73)-1</f>
        <v>61</v>
      </c>
      <c r="B74" s="3">
        <f t="shared" si="4"/>
        <v>-139.5</v>
      </c>
      <c r="C74" s="4">
        <f t="shared" si="0"/>
        <v>-18.919756619931636</v>
      </c>
      <c r="D74" s="4">
        <f t="shared" si="1"/>
        <v>-0.58463658024012233</v>
      </c>
      <c r="E74" s="5">
        <f t="shared" si="2"/>
        <v>-18.920000000000002</v>
      </c>
      <c r="F74" t="str">
        <f t="shared" si="3"/>
        <v>&lt;Placemark&gt;&lt;name&gt;-18.92,-139.5&lt;/name&gt;&lt;Point&gt;&lt;coordinates&gt;-139.5,-18.92,0&lt;/coordinates&gt;&lt;/Point&gt;&lt;/Placemark&gt;</v>
      </c>
    </row>
    <row r="75" spans="1:6" x14ac:dyDescent="0.35">
      <c r="A75" s="1">
        <f>COUNTA(A$12:A74)-1</f>
        <v>62</v>
      </c>
      <c r="B75" s="3">
        <f t="shared" si="4"/>
        <v>-139.75</v>
      </c>
      <c r="C75" s="4">
        <f t="shared" si="0"/>
        <v>-19.499999999999993</v>
      </c>
      <c r="D75" s="4">
        <f t="shared" si="1"/>
        <v>-0.58024338006835663</v>
      </c>
      <c r="E75" s="5">
        <f t="shared" si="2"/>
        <v>-19.5</v>
      </c>
      <c r="F75" t="str">
        <f t="shared" si="3"/>
        <v>&lt;Placemark&gt;&lt;name&gt;-19.5,-139.75&lt;/name&gt;&lt;Point&gt;&lt;coordinates&gt;-139.75,-19.5,0&lt;/coordinates&gt;&lt;/Point&gt;&lt;/Placemark&gt;</v>
      </c>
    </row>
  </sheetData>
  <pageMargins left="0.7" right="0.7" top="0.75" bottom="0.75" header="0.3" footer="0.3"/>
  <pageSetup paperSize="9" orientation="portrait" r:id="rId1"/>
  <headerFooter>
    <oddFooter>&amp;C_x000D_&amp;1#&amp;"Aptos"&amp;9&amp;K00AEFF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DF78-3386-483B-B16A-AC809CF7EF97}">
  <dimension ref="A1:F174"/>
  <sheetViews>
    <sheetView workbookViewId="0"/>
  </sheetViews>
  <sheetFormatPr defaultRowHeight="14.5" x14ac:dyDescent="0.35"/>
  <cols>
    <col min="1" max="1" width="11.54296875" style="1" bestFit="1" customWidth="1"/>
    <col min="2" max="2" width="10.08984375" style="1" bestFit="1" customWidth="1"/>
    <col min="3" max="3" width="9.08984375" style="1" bestFit="1" customWidth="1"/>
    <col min="4" max="4" width="8.08984375" style="1" bestFit="1" customWidth="1"/>
    <col min="5" max="5" width="10.453125" style="1" bestFit="1" customWidth="1"/>
  </cols>
  <sheetData>
    <row r="1" spans="1:6" s="9" customFormat="1" x14ac:dyDescent="0.35">
      <c r="A1" s="9" t="s">
        <v>15</v>
      </c>
      <c r="B1" t="s">
        <v>19</v>
      </c>
      <c r="C1"/>
      <c r="D1"/>
      <c r="E1"/>
    </row>
    <row r="2" spans="1:6" x14ac:dyDescent="0.35">
      <c r="A2" s="9" t="s">
        <v>0</v>
      </c>
      <c r="B2" s="1">
        <v>-19.5</v>
      </c>
    </row>
    <row r="3" spans="1:6" x14ac:dyDescent="0.35">
      <c r="A3" s="9" t="s">
        <v>1</v>
      </c>
      <c r="B3" s="1">
        <v>175.75</v>
      </c>
    </row>
    <row r="4" spans="1:6" x14ac:dyDescent="0.35">
      <c r="A4" s="9" t="s">
        <v>2</v>
      </c>
      <c r="B4" s="1">
        <v>-19.5</v>
      </c>
    </row>
    <row r="5" spans="1:6" x14ac:dyDescent="0.35">
      <c r="A5" s="9" t="s">
        <v>3</v>
      </c>
      <c r="B5" s="1">
        <v>-139.75</v>
      </c>
    </row>
    <row r="6" spans="1:6" x14ac:dyDescent="0.35">
      <c r="A6" s="9" t="s">
        <v>4</v>
      </c>
      <c r="B6" s="1" t="str">
        <f>IF(AND(B2=-B4, MOD(ABS(B3-B5), 360)=180), "ERROR: Antipodal Points", "Valid")</f>
        <v>Valid</v>
      </c>
    </row>
    <row r="7" spans="1:6" x14ac:dyDescent="0.35">
      <c r="A7" s="9" t="s">
        <v>5</v>
      </c>
      <c r="B7" s="2">
        <f>(TAN(RADIANS(B2))*COS(RADIANS(B5))-TAN(RADIANS(B4))*COS(RADIANS(B3)))/SIN(RADIANS(B3)-RADIANS(B5))</f>
        <v>0.11823216429835065</v>
      </c>
    </row>
    <row r="8" spans="1:6" x14ac:dyDescent="0.35">
      <c r="A8" s="9" t="s">
        <v>6</v>
      </c>
      <c r="B8" s="2">
        <f>(SIN(RADIANS(B3))*TAN(RADIANS(B4))-SIN(RADIANS(B5))*TAN(RADIANS(B2)))/SIN(RADIANS(B3)-RADIANS(B5))</f>
        <v>0.36388118562563332</v>
      </c>
    </row>
    <row r="9" spans="1:6" x14ac:dyDescent="0.35">
      <c r="A9" s="9" t="s">
        <v>7</v>
      </c>
      <c r="B9" s="1">
        <f>ROUNDUP(DEGREES(ATAN(SQRT(B7^2 + B8^2))),3)</f>
        <v>20.938000000000002</v>
      </c>
    </row>
    <row r="10" spans="1:6" x14ac:dyDescent="0.35">
      <c r="A10" s="9" t="s">
        <v>8</v>
      </c>
      <c r="B10" s="1" t="b">
        <f>OR(MOD(B3-B5, 180)=0, ABS(B2)=90, ABS(B4)=90)</f>
        <v>0</v>
      </c>
    </row>
    <row r="11" spans="1:6" x14ac:dyDescent="0.35">
      <c r="A11" s="9"/>
    </row>
    <row r="12" spans="1:6" s="9" customFormat="1" x14ac:dyDescent="0.35">
      <c r="A12" s="9" t="s">
        <v>10</v>
      </c>
      <c r="B12" s="9" t="s">
        <v>9</v>
      </c>
      <c r="C12" s="9" t="s">
        <v>11</v>
      </c>
      <c r="D12" s="9" t="s">
        <v>12</v>
      </c>
      <c r="E12" s="9" t="s">
        <v>13</v>
      </c>
      <c r="F12" s="9" t="s">
        <v>14</v>
      </c>
    </row>
    <row r="13" spans="1:6" x14ac:dyDescent="0.35">
      <c r="A13" s="11">
        <f>COUNTA(A$12:A12)-1</f>
        <v>0</v>
      </c>
      <c r="B13" s="12">
        <v>-139.75</v>
      </c>
      <c r="C13" s="13">
        <f t="shared" ref="C13:C76" si="0">DEGREES(ATAN($B$7 * SIN(RADIANS(B13)) + $B$8 * COS(RADIANS(B13))))</f>
        <v>-19.500000000000004</v>
      </c>
      <c r="D13" s="13" t="str">
        <f t="shared" ref="D13:D76" si="1">IF(C12="Lat","",C13-C12)</f>
        <v/>
      </c>
      <c r="E13" s="14">
        <f t="shared" ref="E13:E14" si="2">ROUND(C13,2)</f>
        <v>-19.5</v>
      </c>
      <c r="F13" t="str">
        <f t="shared" ref="F13:F14" si="3">"&lt;Placemark&gt;&lt;name&gt;"&amp;E13&amp;","&amp;B13&amp;"&lt;/name&gt;&lt;Point&gt;&lt;coordinates&gt;"&amp;B13&amp;","&amp;E13&amp;",0&lt;/coordinates&gt;&lt;/Point&gt;&lt;/Placemark&gt;"</f>
        <v>&lt;Placemark&gt;&lt;name&gt;-19.5,-139.75&lt;/name&gt;&lt;Point&gt;&lt;coordinates&gt;-139.75,-19.5,0&lt;/coordinates&gt;&lt;/Point&gt;&lt;/Placemark&gt;</v>
      </c>
    </row>
    <row r="14" spans="1:6" x14ac:dyDescent="0.35">
      <c r="A14" s="1">
        <f>COUNTA(A$12:A13)-1</f>
        <v>1</v>
      </c>
      <c r="B14" s="3">
        <f>B13-0.25</f>
        <v>-140</v>
      </c>
      <c r="C14" s="4">
        <f t="shared" si="0"/>
        <v>-19.532004663536746</v>
      </c>
      <c r="D14" s="4">
        <f t="shared" si="1"/>
        <v>-3.2004663536742584E-2</v>
      </c>
      <c r="E14" s="5">
        <f t="shared" si="2"/>
        <v>-19.53</v>
      </c>
      <c r="F14" t="str">
        <f t="shared" si="3"/>
        <v>&lt;Placemark&gt;&lt;name&gt;-19.53,-140&lt;/name&gt;&lt;Point&gt;&lt;coordinates&gt;-140,-19.53,0&lt;/coordinates&gt;&lt;/Point&gt;&lt;/Placemark&gt;</v>
      </c>
    </row>
    <row r="15" spans="1:6" x14ac:dyDescent="0.35">
      <c r="A15" s="1">
        <f>COUNTA(A$12:A14)-1</f>
        <v>2</v>
      </c>
      <c r="B15" s="3">
        <f t="shared" ref="B15:B78" si="4">B14-0.25</f>
        <v>-140.25</v>
      </c>
      <c r="C15" s="4">
        <f t="shared" si="0"/>
        <v>-19.563653069918288</v>
      </c>
      <c r="D15" s="4">
        <f t="shared" si="1"/>
        <v>-3.1648406381542316E-2</v>
      </c>
      <c r="E15" s="5">
        <f t="shared" ref="E15:E78" si="5">ROUND(C15,2)</f>
        <v>-19.559999999999999</v>
      </c>
      <c r="F15" t="str">
        <f t="shared" ref="F15:F78" si="6">"&lt;Placemark&gt;&lt;name&gt;"&amp;E15&amp;","&amp;B15&amp;"&lt;/name&gt;&lt;Point&gt;&lt;coordinates&gt;"&amp;B15&amp;","&amp;E15&amp;",0&lt;/coordinates&gt;&lt;/Point&gt;&lt;/Placemark&gt;"</f>
        <v>&lt;Placemark&gt;&lt;name&gt;-19.56,-140.25&lt;/name&gt;&lt;Point&gt;&lt;coordinates&gt;-140.25,-19.56,0&lt;/coordinates&gt;&lt;/Point&gt;&lt;/Placemark&gt;</v>
      </c>
    </row>
    <row r="16" spans="1:6" x14ac:dyDescent="0.35">
      <c r="A16" s="1">
        <f>COUNTA(A$12:A15)-1</f>
        <v>3</v>
      </c>
      <c r="B16" s="3">
        <f t="shared" si="4"/>
        <v>-140.5</v>
      </c>
      <c r="C16" s="4">
        <f t="shared" si="0"/>
        <v>-19.59494500932777</v>
      </c>
      <c r="D16" s="4">
        <f t="shared" si="1"/>
        <v>-3.1291939409481273E-2</v>
      </c>
      <c r="E16" s="5">
        <f t="shared" si="5"/>
        <v>-19.59</v>
      </c>
      <c r="F16" t="str">
        <f t="shared" si="6"/>
        <v>&lt;Placemark&gt;&lt;name&gt;-19.59,-140.5&lt;/name&gt;&lt;Point&gt;&lt;coordinates&gt;-140.5,-19.59,0&lt;/coordinates&gt;&lt;/Point&gt;&lt;/Placemark&gt;</v>
      </c>
    </row>
    <row r="17" spans="1:6" x14ac:dyDescent="0.35">
      <c r="A17" s="1">
        <f>COUNTA(A$12:A16)-1</f>
        <v>4</v>
      </c>
      <c r="B17" s="3">
        <f t="shared" si="4"/>
        <v>-140.75</v>
      </c>
      <c r="C17" s="4">
        <f t="shared" si="0"/>
        <v>-19.625880275841087</v>
      </c>
      <c r="D17" s="4">
        <f t="shared" si="1"/>
        <v>-3.0935266513317572E-2</v>
      </c>
      <c r="E17" s="5">
        <f t="shared" si="5"/>
        <v>-19.63</v>
      </c>
      <c r="F17" t="str">
        <f t="shared" si="6"/>
        <v>&lt;Placemark&gt;&lt;name&gt;-19.63,-140.75&lt;/name&gt;&lt;Point&gt;&lt;coordinates&gt;-140.75,-19.63,0&lt;/coordinates&gt;&lt;/Point&gt;&lt;/Placemark&gt;</v>
      </c>
    </row>
    <row r="18" spans="1:6" x14ac:dyDescent="0.35">
      <c r="A18" s="1">
        <f>COUNTA(A$12:A17)-1</f>
        <v>5</v>
      </c>
      <c r="B18" s="3">
        <f t="shared" si="4"/>
        <v>-141</v>
      </c>
      <c r="C18" s="4">
        <f t="shared" si="0"/>
        <v>-19.656458667377017</v>
      </c>
      <c r="D18" s="4">
        <f t="shared" si="1"/>
        <v>-3.0578391535929228E-2</v>
      </c>
      <c r="E18" s="5">
        <f t="shared" si="5"/>
        <v>-19.66</v>
      </c>
      <c r="F18" t="str">
        <f t="shared" si="6"/>
        <v>&lt;Placemark&gt;&lt;name&gt;-19.66,-141&lt;/name&gt;&lt;Point&gt;&lt;coordinates&gt;-141,-19.66,0&lt;/coordinates&gt;&lt;/Point&gt;&lt;/Placemark&gt;</v>
      </c>
    </row>
    <row r="19" spans="1:6" x14ac:dyDescent="0.35">
      <c r="A19" s="1">
        <f>COUNTA(A$12:A18)-1</f>
        <v>6</v>
      </c>
      <c r="B19" s="3">
        <f t="shared" si="4"/>
        <v>-141.25</v>
      </c>
      <c r="C19" s="4">
        <f t="shared" si="0"/>
        <v>-19.686679985647743</v>
      </c>
      <c r="D19" s="4">
        <f t="shared" si="1"/>
        <v>-3.0221318270726272E-2</v>
      </c>
      <c r="E19" s="5">
        <f t="shared" si="5"/>
        <v>-19.690000000000001</v>
      </c>
      <c r="F19" t="str">
        <f t="shared" si="6"/>
        <v>&lt;Placemark&gt;&lt;name&gt;-19.69,-141.25&lt;/name&gt;&lt;Point&gt;&lt;coordinates&gt;-141.25,-19.69,0&lt;/coordinates&gt;&lt;/Point&gt;&lt;/Placemark&gt;</v>
      </c>
    </row>
    <row r="20" spans="1:6" x14ac:dyDescent="0.35">
      <c r="A20" s="1">
        <f>COUNTA(A$12:A19)-1</f>
        <v>7</v>
      </c>
      <c r="B20" s="3">
        <f t="shared" si="4"/>
        <v>-141.5</v>
      </c>
      <c r="C20" s="4">
        <f t="shared" si="0"/>
        <v>-19.716544036109919</v>
      </c>
      <c r="D20" s="4">
        <f t="shared" si="1"/>
        <v>-2.986405046217655E-2</v>
      </c>
      <c r="E20" s="5">
        <f t="shared" si="5"/>
        <v>-19.72</v>
      </c>
      <c r="F20" t="str">
        <f t="shared" si="6"/>
        <v>&lt;Placemark&gt;&lt;name&gt;-19.72,-141.5&lt;/name&gt;&lt;Point&gt;&lt;coordinates&gt;-141.5,-19.72,0&lt;/coordinates&gt;&lt;/Point&gt;&lt;/Placemark&gt;</v>
      </c>
    </row>
    <row r="21" spans="1:6" x14ac:dyDescent="0.35">
      <c r="A21" s="1">
        <f>COUNTA(A$12:A20)-1</f>
        <v>8</v>
      </c>
      <c r="B21" s="3">
        <f t="shared" si="4"/>
        <v>-141.75</v>
      </c>
      <c r="C21" s="4">
        <f t="shared" si="0"/>
        <v>-19.746050627916183</v>
      </c>
      <c r="D21" s="4">
        <f t="shared" si="1"/>
        <v>-2.9506591806264026E-2</v>
      </c>
      <c r="E21" s="5">
        <f t="shared" si="5"/>
        <v>-19.75</v>
      </c>
      <c r="F21" t="str">
        <f t="shared" si="6"/>
        <v>&lt;Placemark&gt;&lt;name&gt;-19.75,-141.75&lt;/name&gt;&lt;Point&gt;&lt;coordinates&gt;-141.75,-19.75,0&lt;/coordinates&gt;&lt;/Point&gt;&lt;/Placemark&gt;</v>
      </c>
    </row>
    <row r="22" spans="1:6" x14ac:dyDescent="0.35">
      <c r="A22" s="1">
        <f>COUNTA(A$12:A21)-1</f>
        <v>9</v>
      </c>
      <c r="B22" s="3">
        <f t="shared" si="4"/>
        <v>-142</v>
      </c>
      <c r="C22" s="4">
        <f t="shared" si="0"/>
        <v>-19.775199573867159</v>
      </c>
      <c r="D22" s="4">
        <f t="shared" si="1"/>
        <v>-2.9148945950975502E-2</v>
      </c>
      <c r="E22" s="5">
        <f t="shared" si="5"/>
        <v>-19.78</v>
      </c>
      <c r="F22" t="str">
        <f t="shared" si="6"/>
        <v>&lt;Placemark&gt;&lt;name&gt;-19.78,-142&lt;/name&gt;&lt;Point&gt;&lt;coordinates&gt;-142,-19.78,0&lt;/coordinates&gt;&lt;/Point&gt;&lt;/Placemark&gt;</v>
      </c>
    </row>
    <row r="23" spans="1:6" x14ac:dyDescent="0.35">
      <c r="A23" s="1">
        <f>COUNTA(A$12:A22)-1</f>
        <v>10</v>
      </c>
      <c r="B23" s="3">
        <f t="shared" si="4"/>
        <v>-142.25</v>
      </c>
      <c r="C23" s="4">
        <f t="shared" si="0"/>
        <v>-19.803990690363971</v>
      </c>
      <c r="D23" s="4">
        <f t="shared" si="1"/>
        <v>-2.8791116496812208E-2</v>
      </c>
      <c r="E23" s="5">
        <f t="shared" si="5"/>
        <v>-19.8</v>
      </c>
      <c r="F23" t="str">
        <f t="shared" si="6"/>
        <v>&lt;Placemark&gt;&lt;name&gt;-19.8,-142.25&lt;/name&gt;&lt;Point&gt;&lt;coordinates&gt;-142.25,-19.8,0&lt;/coordinates&gt;&lt;/Point&gt;&lt;/Placemark&gt;</v>
      </c>
    </row>
    <row r="24" spans="1:6" x14ac:dyDescent="0.35">
      <c r="A24" s="1">
        <f>COUNTA(A$12:A23)-1</f>
        <v>11</v>
      </c>
      <c r="B24" s="3">
        <f t="shared" si="4"/>
        <v>-142.5</v>
      </c>
      <c r="C24" s="4">
        <f t="shared" si="0"/>
        <v>-19.832423797361194</v>
      </c>
      <c r="D24" s="4">
        <f t="shared" si="1"/>
        <v>-2.8433106997223234E-2</v>
      </c>
      <c r="E24" s="5">
        <f t="shared" si="5"/>
        <v>-19.829999999999998</v>
      </c>
      <c r="F24" t="str">
        <f t="shared" si="6"/>
        <v>&lt;Placemark&gt;&lt;name&gt;-19.83,-142.5&lt;/name&gt;&lt;Point&gt;&lt;coordinates&gt;-142.5,-19.83,0&lt;/coordinates&gt;&lt;/Point&gt;&lt;/Placemark&gt;</v>
      </c>
    </row>
    <row r="25" spans="1:6" x14ac:dyDescent="0.35">
      <c r="A25" s="1">
        <f>COUNTA(A$12:A24)-1</f>
        <v>12</v>
      </c>
      <c r="B25" s="3">
        <f t="shared" si="4"/>
        <v>-142.75</v>
      </c>
      <c r="C25" s="4">
        <f t="shared" si="0"/>
        <v>-19.860498718320397</v>
      </c>
      <c r="D25" s="4">
        <f t="shared" si="1"/>
        <v>-2.8074920959202387E-2</v>
      </c>
      <c r="E25" s="5">
        <f t="shared" si="5"/>
        <v>-19.86</v>
      </c>
      <c r="F25" t="str">
        <f t="shared" si="6"/>
        <v>&lt;Placemark&gt;&lt;name&gt;-19.86,-142.75&lt;/name&gt;&lt;Point&gt;&lt;coordinates&gt;-142.75,-19.86,0&lt;/coordinates&gt;&lt;/Point&gt;&lt;/Placemark&gt;</v>
      </c>
    </row>
    <row r="26" spans="1:6" x14ac:dyDescent="0.35">
      <c r="A26" s="1">
        <f>COUNTA(A$12:A25)-1</f>
        <v>13</v>
      </c>
      <c r="B26" s="3">
        <f t="shared" si="4"/>
        <v>-143</v>
      </c>
      <c r="C26" s="4">
        <f t="shared" si="0"/>
        <v>-19.888215280164065</v>
      </c>
      <c r="D26" s="4">
        <f t="shared" si="1"/>
        <v>-2.771656184366833E-2</v>
      </c>
      <c r="E26" s="5">
        <f t="shared" si="5"/>
        <v>-19.89</v>
      </c>
      <c r="F26" t="str">
        <f t="shared" si="6"/>
        <v>&lt;Placemark&gt;&lt;name&gt;-19.89,-143&lt;/name&gt;&lt;Point&gt;&lt;coordinates&gt;-143,-19.89,0&lt;/coordinates&gt;&lt;/Point&gt;&lt;/Placemark&gt;</v>
      </c>
    </row>
    <row r="27" spans="1:6" x14ac:dyDescent="0.35">
      <c r="A27" s="1">
        <f>COUNTA(A$12:A26)-1</f>
        <v>14</v>
      </c>
      <c r="B27" s="3">
        <f t="shared" si="4"/>
        <v>-143.25</v>
      </c>
      <c r="C27" s="4">
        <f t="shared" si="0"/>
        <v>-19.915573313230141</v>
      </c>
      <c r="D27" s="4">
        <f t="shared" si="1"/>
        <v>-2.7358033066075649E-2</v>
      </c>
      <c r="E27" s="5">
        <f t="shared" si="5"/>
        <v>-19.920000000000002</v>
      </c>
      <c r="F27" t="str">
        <f t="shared" si="6"/>
        <v>&lt;Placemark&gt;&lt;name&gt;-19.92,-143.25&lt;/name&gt;&lt;Point&gt;&lt;coordinates&gt;-143.25,-19.92,0&lt;/coordinates&gt;&lt;/Point&gt;&lt;/Placemark&gt;</v>
      </c>
    </row>
    <row r="28" spans="1:6" x14ac:dyDescent="0.35">
      <c r="A28" s="1">
        <f>COUNTA(A$12:A27)-1</f>
        <v>15</v>
      </c>
      <c r="B28" s="3">
        <f t="shared" si="4"/>
        <v>-143.5</v>
      </c>
      <c r="C28" s="4">
        <f t="shared" si="0"/>
        <v>-19.942572651227007</v>
      </c>
      <c r="D28" s="4">
        <f t="shared" si="1"/>
        <v>-2.6999337996866046E-2</v>
      </c>
      <c r="E28" s="5">
        <f t="shared" si="5"/>
        <v>-19.940000000000001</v>
      </c>
      <c r="F28" t="str">
        <f t="shared" si="6"/>
        <v>&lt;Placemark&gt;&lt;name&gt;-19.94,-143.5&lt;/name&gt;&lt;Point&gt;&lt;coordinates&gt;-143.5,-19.94,0&lt;/coordinates&gt;&lt;/Point&gt;&lt;/Placemark&gt;</v>
      </c>
    </row>
    <row r="29" spans="1:6" x14ac:dyDescent="0.35">
      <c r="A29" s="1">
        <f>COUNTA(A$12:A28)-1</f>
        <v>16</v>
      </c>
      <c r="B29" s="3">
        <f t="shared" si="4"/>
        <v>-143.75</v>
      </c>
      <c r="C29" s="4">
        <f t="shared" si="0"/>
        <v>-19.969213131188994</v>
      </c>
      <c r="D29" s="4">
        <f t="shared" si="1"/>
        <v>-2.664047996198704E-2</v>
      </c>
      <c r="E29" s="5">
        <f t="shared" si="5"/>
        <v>-19.97</v>
      </c>
      <c r="F29" t="str">
        <f t="shared" si="6"/>
        <v>&lt;Placemark&gt;&lt;name&gt;-19.97,-143.75&lt;/name&gt;&lt;Point&gt;&lt;coordinates&gt;-143.75,-19.97,0&lt;/coordinates&gt;&lt;/Point&gt;&lt;/Placemark&gt;</v>
      </c>
    </row>
    <row r="30" spans="1:6" x14ac:dyDescent="0.35">
      <c r="A30" s="1">
        <f>COUNTA(A$12:A29)-1</f>
        <v>17</v>
      </c>
      <c r="B30" s="3">
        <f t="shared" si="4"/>
        <v>-144</v>
      </c>
      <c r="C30" s="4">
        <f t="shared" si="0"/>
        <v>-19.995494593432422</v>
      </c>
      <c r="D30" s="4">
        <f t="shared" si="1"/>
        <v>-2.6281462243428422E-2</v>
      </c>
      <c r="E30" s="5">
        <f t="shared" si="5"/>
        <v>-20</v>
      </c>
      <c r="F30" t="str">
        <f t="shared" si="6"/>
        <v>&lt;Placemark&gt;&lt;name&gt;-20,-144&lt;/name&gt;&lt;Point&gt;&lt;coordinates&gt;-144,-20,0&lt;/coordinates&gt;&lt;/Point&gt;&lt;/Placemark&gt;</v>
      </c>
    </row>
    <row r="31" spans="1:6" x14ac:dyDescent="0.35">
      <c r="A31" s="1">
        <f>COUNTA(A$12:A30)-1</f>
        <v>18</v>
      </c>
      <c r="B31" s="3">
        <f t="shared" si="4"/>
        <v>-144.25</v>
      </c>
      <c r="C31" s="4">
        <f t="shared" si="0"/>
        <v>-20.021416881512145</v>
      </c>
      <c r="D31" s="4">
        <f t="shared" si="1"/>
        <v>-2.5922288079723188E-2</v>
      </c>
      <c r="E31" s="5">
        <f t="shared" si="5"/>
        <v>-20.02</v>
      </c>
      <c r="F31" t="str">
        <f t="shared" si="6"/>
        <v>&lt;Placemark&gt;&lt;name&gt;-20.02,-144.25&lt;/name&gt;&lt;Point&gt;&lt;coordinates&gt;-144.25,-20.02,0&lt;/coordinates&gt;&lt;/Point&gt;&lt;/Placemark&gt;</v>
      </c>
    </row>
    <row r="32" spans="1:6" x14ac:dyDescent="0.35">
      <c r="A32" s="1">
        <f>COUNTA(A$12:A31)-1</f>
        <v>19</v>
      </c>
      <c r="B32" s="3">
        <f t="shared" si="4"/>
        <v>-144.5</v>
      </c>
      <c r="C32" s="4">
        <f t="shared" si="0"/>
        <v>-20.046979842178597</v>
      </c>
      <c r="D32" s="4">
        <f t="shared" si="1"/>
        <v>-2.5562960666452028E-2</v>
      </c>
      <c r="E32" s="5">
        <f t="shared" si="5"/>
        <v>-20.05</v>
      </c>
      <c r="F32" t="str">
        <f t="shared" si="6"/>
        <v>&lt;Placemark&gt;&lt;name&gt;-20.05,-144.5&lt;/name&gt;&lt;Point&gt;&lt;coordinates&gt;-144.5,-20.05,0&lt;/coordinates&gt;&lt;/Point&gt;&lt;/Placemark&gt;</v>
      </c>
    </row>
    <row r="33" spans="1:6" x14ac:dyDescent="0.35">
      <c r="A33" s="1">
        <f>COUNTA(A$12:A32)-1</f>
        <v>20</v>
      </c>
      <c r="B33" s="3">
        <f t="shared" si="4"/>
        <v>-144.75</v>
      </c>
      <c r="C33" s="4">
        <f t="shared" si="0"/>
        <v>-20.072183325335452</v>
      </c>
      <c r="D33" s="4">
        <f t="shared" si="1"/>
        <v>-2.5203483156854389E-2</v>
      </c>
      <c r="E33" s="5">
        <f t="shared" si="5"/>
        <v>-20.07</v>
      </c>
      <c r="F33" t="str">
        <f t="shared" si="6"/>
        <v>&lt;Placemark&gt;&lt;name&gt;-20.07,-144.75&lt;/name&gt;&lt;Point&gt;&lt;coordinates&gt;-144.75,-20.07,0&lt;/coordinates&gt;&lt;/Point&gt;&lt;/Placemark&gt;</v>
      </c>
    </row>
    <row r="34" spans="1:6" x14ac:dyDescent="0.35">
      <c r="A34" s="1">
        <f>COUNTA(A$12:A33)-1</f>
        <v>21</v>
      </c>
      <c r="B34" s="3">
        <f t="shared" si="4"/>
        <v>-145</v>
      </c>
      <c r="C34" s="4">
        <f t="shared" si="0"/>
        <v>-20.097027183997678</v>
      </c>
      <c r="D34" s="4">
        <f t="shared" si="1"/>
        <v>-2.4843858662226381E-2</v>
      </c>
      <c r="E34" s="5">
        <f t="shared" si="5"/>
        <v>-20.100000000000001</v>
      </c>
      <c r="F34" t="str">
        <f t="shared" si="6"/>
        <v>&lt;Placemark&gt;&lt;name&gt;-20.1,-145&lt;/name&gt;&lt;Point&gt;&lt;coordinates&gt;-145,-20.1,0&lt;/coordinates&gt;&lt;/Point&gt;&lt;/Placemark&gt;</v>
      </c>
    </row>
    <row r="35" spans="1:6" x14ac:dyDescent="0.35">
      <c r="A35" s="1">
        <f>COUNTA(A$12:A34)-1</f>
        <v>22</v>
      </c>
      <c r="B35" s="3">
        <f t="shared" si="4"/>
        <v>-145.25</v>
      </c>
      <c r="C35" s="4">
        <f t="shared" si="0"/>
        <v>-20.121511274250256</v>
      </c>
      <c r="D35" s="4">
        <f t="shared" si="1"/>
        <v>-2.4484090252578028E-2</v>
      </c>
      <c r="E35" s="5">
        <f t="shared" si="5"/>
        <v>-20.12</v>
      </c>
      <c r="F35" t="str">
        <f t="shared" si="6"/>
        <v>&lt;Placemark&gt;&lt;name&gt;-20.12,-145.25&lt;/name&gt;&lt;Point&gt;&lt;coordinates&gt;-145.25,-20.12,0&lt;/coordinates&gt;&lt;/Point&gt;&lt;/Placemark&gt;</v>
      </c>
    </row>
    <row r="36" spans="1:6" x14ac:dyDescent="0.35">
      <c r="A36" s="1">
        <f>COUNTA(A$12:A35)-1</f>
        <v>23</v>
      </c>
      <c r="B36" s="3">
        <f t="shared" si="4"/>
        <v>-145.5</v>
      </c>
      <c r="C36" s="4">
        <f t="shared" si="0"/>
        <v>-20.145635455207337</v>
      </c>
      <c r="D36" s="4">
        <f t="shared" si="1"/>
        <v>-2.412418095708091E-2</v>
      </c>
      <c r="E36" s="5">
        <f t="shared" si="5"/>
        <v>-20.149999999999999</v>
      </c>
      <c r="F36" t="str">
        <f t="shared" si="6"/>
        <v>&lt;Placemark&gt;&lt;name&gt;-20.15,-145.5&lt;/name&gt;&lt;Point&gt;&lt;coordinates&gt;-145.5,-20.15,0&lt;/coordinates&gt;&lt;/Point&gt;&lt;/Placemark&gt;</v>
      </c>
    </row>
    <row r="37" spans="1:6" x14ac:dyDescent="0.35">
      <c r="A37" s="1">
        <f>COUNTA(A$12:A36)-1</f>
        <v>24</v>
      </c>
      <c r="B37" s="3">
        <f t="shared" si="4"/>
        <v>-145.75</v>
      </c>
      <c r="C37" s="4">
        <f t="shared" si="0"/>
        <v>-20.169399588971999</v>
      </c>
      <c r="D37" s="4">
        <f t="shared" si="1"/>
        <v>-2.3764133764661466E-2</v>
      </c>
      <c r="E37" s="5">
        <f t="shared" si="5"/>
        <v>-20.170000000000002</v>
      </c>
      <c r="F37" t="str">
        <f t="shared" si="6"/>
        <v>&lt;Placemark&gt;&lt;name&gt;-20.17,-145.75&lt;/name&gt;&lt;Point&gt;&lt;coordinates&gt;-145.75,-20.17,0&lt;/coordinates&gt;&lt;/Point&gt;&lt;/Placemark&gt;</v>
      </c>
    </row>
    <row r="38" spans="1:6" x14ac:dyDescent="0.35">
      <c r="A38" s="1">
        <f>COUNTA(A$12:A37)-1</f>
        <v>25</v>
      </c>
      <c r="B38" s="3">
        <f t="shared" si="4"/>
        <v>-146</v>
      </c>
      <c r="C38" s="4">
        <f t="shared" si="0"/>
        <v>-20.192803540596508</v>
      </c>
      <c r="D38" s="4">
        <f t="shared" si="1"/>
        <v>-2.3403951624509034E-2</v>
      </c>
      <c r="E38" s="5">
        <f t="shared" si="5"/>
        <v>-20.190000000000001</v>
      </c>
      <c r="F38" t="str">
        <f t="shared" si="6"/>
        <v>&lt;Placemark&gt;&lt;name&gt;-20.19,-146&lt;/name&gt;&lt;Point&gt;&lt;coordinates&gt;-146,-20.19,0&lt;/coordinates&gt;&lt;/Point&gt;&lt;/Placemark&gt;</v>
      </c>
    </row>
    <row r="39" spans="1:6" x14ac:dyDescent="0.35">
      <c r="A39" s="1">
        <f>COUNTA(A$12:A38)-1</f>
        <v>26</v>
      </c>
      <c r="B39" s="3">
        <f t="shared" si="4"/>
        <v>-146.25</v>
      </c>
      <c r="C39" s="4">
        <f t="shared" si="0"/>
        <v>-20.215847178043166</v>
      </c>
      <c r="D39" s="4">
        <f t="shared" si="1"/>
        <v>-2.3043637446658494E-2</v>
      </c>
      <c r="E39" s="5">
        <f t="shared" si="5"/>
        <v>-20.22</v>
      </c>
      <c r="F39" t="str">
        <f t="shared" si="6"/>
        <v>&lt;Placemark&gt;&lt;name&gt;-20.22,-146.25&lt;/name&gt;&lt;Point&gt;&lt;coordinates&gt;-146.25,-20.22,0&lt;/coordinates&gt;&lt;/Point&gt;&lt;/Placemark&gt;</v>
      </c>
    </row>
    <row r="40" spans="1:6" x14ac:dyDescent="0.35">
      <c r="A40" s="1">
        <f>COUNTA(A$12:A39)-1</f>
        <v>27</v>
      </c>
      <c r="B40" s="3">
        <f t="shared" si="4"/>
        <v>-146.5</v>
      </c>
      <c r="C40" s="4">
        <f t="shared" si="0"/>
        <v>-20.238530372145625</v>
      </c>
      <c r="D40" s="4">
        <f t="shared" si="1"/>
        <v>-2.2683194102459225E-2</v>
      </c>
      <c r="E40" s="5">
        <f t="shared" si="5"/>
        <v>-20.239999999999998</v>
      </c>
      <c r="F40" t="str">
        <f t="shared" si="6"/>
        <v>&lt;Placemark&gt;&lt;name&gt;-20.24,-146.5&lt;/name&gt;&lt;Point&gt;&lt;coordinates&gt;-146.5,-20.24,0&lt;/coordinates&gt;&lt;/Point&gt;&lt;/Placemark&gt;</v>
      </c>
    </row>
    <row r="41" spans="1:6" x14ac:dyDescent="0.35">
      <c r="A41" s="1">
        <f>COUNTA(A$12:A40)-1</f>
        <v>28</v>
      </c>
      <c r="B41" s="3">
        <f t="shared" si="4"/>
        <v>-146.75</v>
      </c>
      <c r="C41" s="4">
        <f t="shared" si="0"/>
        <v>-20.260852996570875</v>
      </c>
      <c r="D41" s="4">
        <f t="shared" si="1"/>
        <v>-2.2322624425250126E-2</v>
      </c>
      <c r="E41" s="5">
        <f t="shared" si="5"/>
        <v>-20.260000000000002</v>
      </c>
      <c r="F41" t="str">
        <f t="shared" si="6"/>
        <v>&lt;Placemark&gt;&lt;name&gt;-20.26,-146.75&lt;/name&gt;&lt;Point&gt;&lt;coordinates&gt;-146.75,-20.26,0&lt;/coordinates&gt;&lt;/Point&gt;&lt;/Placemark&gt;</v>
      </c>
    </row>
    <row r="42" spans="1:6" x14ac:dyDescent="0.35">
      <c r="A42" s="1">
        <f>COUNTA(A$12:A41)-1</f>
        <v>29</v>
      </c>
      <c r="B42" s="3">
        <f t="shared" si="4"/>
        <v>-147</v>
      </c>
      <c r="C42" s="4">
        <f t="shared" si="0"/>
        <v>-20.282814927781661</v>
      </c>
      <c r="D42" s="4">
        <f t="shared" si="1"/>
        <v>-2.1961931210785934E-2</v>
      </c>
      <c r="E42" s="5">
        <f t="shared" si="5"/>
        <v>-20.28</v>
      </c>
      <c r="F42" t="str">
        <f t="shared" si="6"/>
        <v>&lt;Placemark&gt;&lt;name&gt;-20.28,-147&lt;/name&gt;&lt;Point&gt;&lt;coordinates&gt;-147,-20.28,0&lt;/coordinates&gt;&lt;/Point&gt;&lt;/Placemark&gt;</v>
      </c>
    </row>
    <row r="43" spans="1:6" x14ac:dyDescent="0.35">
      <c r="A43" s="1">
        <f>COUNTA(A$12:A42)-1</f>
        <v>30</v>
      </c>
      <c r="B43" s="3">
        <f t="shared" si="4"/>
        <v>-147.25</v>
      </c>
      <c r="C43" s="4">
        <f t="shared" si="0"/>
        <v>-20.304416044999535</v>
      </c>
      <c r="D43" s="4">
        <f t="shared" si="1"/>
        <v>-2.1601117217873167E-2</v>
      </c>
      <c r="E43" s="5">
        <f t="shared" si="5"/>
        <v>-20.3</v>
      </c>
      <c r="F43" t="str">
        <f t="shared" si="6"/>
        <v>&lt;Placemark&gt;&lt;name&gt;-20.3,-147.25&lt;/name&gt;&lt;Point&gt;&lt;coordinates&gt;-147.25,-20.3,0&lt;/coordinates&gt;&lt;/Point&gt;&lt;/Placemark&gt;</v>
      </c>
    </row>
    <row r="44" spans="1:6" x14ac:dyDescent="0.35">
      <c r="A44" s="1">
        <f>COUNTA(A$12:A43)-1</f>
        <v>31</v>
      </c>
      <c r="B44" s="3">
        <f t="shared" si="4"/>
        <v>-147.5</v>
      </c>
      <c r="C44" s="4">
        <f t="shared" si="0"/>
        <v>-20.325656230168427</v>
      </c>
      <c r="D44" s="4">
        <f t="shared" si="1"/>
        <v>-2.1240185168892367E-2</v>
      </c>
      <c r="E44" s="5">
        <f t="shared" si="5"/>
        <v>-20.329999999999998</v>
      </c>
      <c r="F44" t="str">
        <f t="shared" si="6"/>
        <v>&lt;Placemark&gt;&lt;name&gt;-20.33,-147.5&lt;/name&gt;&lt;Point&gt;&lt;coordinates&gt;-147.5,-20.33,0&lt;/coordinates&gt;&lt;/Point&gt;&lt;/Placemark&gt;</v>
      </c>
    </row>
    <row r="45" spans="1:6" x14ac:dyDescent="0.35">
      <c r="A45" s="1">
        <f>COUNTA(A$12:A44)-1</f>
        <v>32</v>
      </c>
      <c r="B45" s="3">
        <f t="shared" si="4"/>
        <v>-147.75</v>
      </c>
      <c r="C45" s="4">
        <f t="shared" si="0"/>
        <v>-20.346535367918801</v>
      </c>
      <c r="D45" s="4">
        <f t="shared" si="1"/>
        <v>-2.0879137750373644E-2</v>
      </c>
      <c r="E45" s="5">
        <f t="shared" si="5"/>
        <v>-20.350000000000001</v>
      </c>
      <c r="F45" t="str">
        <f t="shared" si="6"/>
        <v>&lt;Placemark&gt;&lt;name&gt;-20.35,-147.75&lt;/name&gt;&lt;Point&gt;&lt;coordinates&gt;-147.75,-20.35,0&lt;/coordinates&gt;&lt;/Point&gt;&lt;/Placemark&gt;</v>
      </c>
    </row>
    <row r="46" spans="1:6" x14ac:dyDescent="0.35">
      <c r="A46" s="1">
        <f>COUNTA(A$12:A45)-1</f>
        <v>33</v>
      </c>
      <c r="B46" s="3">
        <f t="shared" si="4"/>
        <v>-148</v>
      </c>
      <c r="C46" s="4">
        <f t="shared" si="0"/>
        <v>-20.367053345532355</v>
      </c>
      <c r="D46" s="4">
        <f t="shared" si="1"/>
        <v>-2.051797761355445E-2</v>
      </c>
      <c r="E46" s="5">
        <f t="shared" si="5"/>
        <v>-20.37</v>
      </c>
      <c r="F46" t="str">
        <f t="shared" si="6"/>
        <v>&lt;Placemark&gt;&lt;name&gt;-20.37,-148&lt;/name&gt;&lt;Point&gt;&lt;coordinates&gt;-148,-20.37,0&lt;/coordinates&gt;&lt;/Point&gt;&lt;/Placemark&gt;</v>
      </c>
    </row>
    <row r="47" spans="1:6" x14ac:dyDescent="0.35">
      <c r="A47" s="1">
        <f>COUNTA(A$12:A46)-1</f>
        <v>34</v>
      </c>
      <c r="B47" s="3">
        <f t="shared" si="4"/>
        <v>-148.25</v>
      </c>
      <c r="C47" s="4">
        <f t="shared" si="0"/>
        <v>-20.38721005290731</v>
      </c>
      <c r="D47" s="4">
        <f t="shared" si="1"/>
        <v>-2.0156707374955118E-2</v>
      </c>
      <c r="E47" s="5">
        <f t="shared" si="5"/>
        <v>-20.39</v>
      </c>
      <c r="F47" t="str">
        <f t="shared" si="6"/>
        <v>&lt;Placemark&gt;&lt;name&gt;-20.39,-148.25&lt;/name&gt;&lt;Point&gt;&lt;coordinates&gt;-148.25,-20.39,0&lt;/coordinates&gt;&lt;/Point&gt;&lt;/Placemark&gt;</v>
      </c>
    </row>
    <row r="48" spans="1:6" x14ac:dyDescent="0.35">
      <c r="A48" s="1">
        <f>COUNTA(A$12:A47)-1</f>
        <v>35</v>
      </c>
      <c r="B48" s="3">
        <f t="shared" si="4"/>
        <v>-148.5</v>
      </c>
      <c r="C48" s="4">
        <f t="shared" si="0"/>
        <v>-20.407005382524211</v>
      </c>
      <c r="D48" s="4">
        <f t="shared" si="1"/>
        <v>-1.9795329616901114E-2</v>
      </c>
      <c r="E48" s="5">
        <f t="shared" si="5"/>
        <v>-20.41</v>
      </c>
      <c r="F48" t="str">
        <f t="shared" si="6"/>
        <v>&lt;Placemark&gt;&lt;name&gt;-20.41,-148.5&lt;/name&gt;&lt;Point&gt;&lt;coordinates&gt;-148.5,-20.41,0&lt;/coordinates&gt;&lt;/Point&gt;&lt;/Placemark&gt;</v>
      </c>
    </row>
    <row r="49" spans="1:6" x14ac:dyDescent="0.35">
      <c r="A49" s="1">
        <f>COUNTA(A$12:A48)-1</f>
        <v>36</v>
      </c>
      <c r="B49" s="3">
        <f t="shared" si="4"/>
        <v>-148.75</v>
      </c>
      <c r="C49" s="4">
        <f t="shared" si="0"/>
        <v>-20.42643922941237</v>
      </c>
      <c r="D49" s="4">
        <f t="shared" si="1"/>
        <v>-1.9433846888158968E-2</v>
      </c>
      <c r="E49" s="5">
        <f t="shared" si="5"/>
        <v>-20.43</v>
      </c>
      <c r="F49" t="str">
        <f t="shared" si="6"/>
        <v>&lt;Placemark&gt;&lt;name&gt;-20.43,-148.75&lt;/name&gt;&lt;Point&gt;&lt;coordinates&gt;-148.75,-20.43,0&lt;/coordinates&gt;&lt;/Point&gt;&lt;/Placemark&gt;</v>
      </c>
    </row>
    <row r="50" spans="1:6" x14ac:dyDescent="0.35">
      <c r="A50" s="1">
        <f>COUNTA(A$12:A49)-1</f>
        <v>37</v>
      </c>
      <c r="B50" s="3">
        <f t="shared" si="4"/>
        <v>-149</v>
      </c>
      <c r="C50" s="4">
        <f t="shared" si="0"/>
        <v>-20.445511491116843</v>
      </c>
      <c r="D50" s="4">
        <f t="shared" si="1"/>
        <v>-1.9072261704472737E-2</v>
      </c>
      <c r="E50" s="5">
        <f t="shared" si="5"/>
        <v>-20.45</v>
      </c>
      <c r="F50" t="str">
        <f t="shared" si="6"/>
        <v>&lt;Placemark&gt;&lt;name&gt;-20.45,-149&lt;/name&gt;&lt;Point&gt;&lt;coordinates&gt;-149,-20.45,0&lt;/coordinates&gt;&lt;/Point&gt;&lt;/Placemark&gt;</v>
      </c>
    </row>
    <row r="51" spans="1:6" x14ac:dyDescent="0.35">
      <c r="A51" s="1">
        <f>COUNTA(A$12:A50)-1</f>
        <v>38</v>
      </c>
      <c r="B51" s="3">
        <f t="shared" si="4"/>
        <v>-149.25</v>
      </c>
      <c r="C51" s="4">
        <f t="shared" si="0"/>
        <v>-20.464222067665965</v>
      </c>
      <c r="D51" s="4">
        <f t="shared" si="1"/>
        <v>-1.8710576549121782E-2</v>
      </c>
      <c r="E51" s="5">
        <f t="shared" si="5"/>
        <v>-20.46</v>
      </c>
      <c r="F51" t="str">
        <f t="shared" si="6"/>
        <v>&lt;Placemark&gt;&lt;name&gt;-20.46,-149.25&lt;/name&gt;&lt;Point&gt;&lt;coordinates&gt;-149.25,-20.46,0&lt;/coordinates&gt;&lt;/Point&gt;&lt;/Placemark&gt;</v>
      </c>
    </row>
    <row r="52" spans="1:6" x14ac:dyDescent="0.35">
      <c r="A52" s="1">
        <f>COUNTA(A$12:A51)-1</f>
        <v>39</v>
      </c>
      <c r="B52" s="3">
        <f t="shared" si="4"/>
        <v>-149.5</v>
      </c>
      <c r="C52" s="4">
        <f t="shared" si="0"/>
        <v>-20.4825708615395</v>
      </c>
      <c r="D52" s="4">
        <f t="shared" si="1"/>
        <v>-1.8348793873535385E-2</v>
      </c>
      <c r="E52" s="5">
        <f t="shared" si="5"/>
        <v>-20.48</v>
      </c>
      <c r="F52" t="str">
        <f t="shared" si="6"/>
        <v>&lt;Placemark&gt;&lt;name&gt;-20.48,-149.5&lt;/name&gt;&lt;Point&gt;&lt;coordinates&gt;-149.5,-20.48,0&lt;/coordinates&gt;&lt;/Point&gt;&lt;/Placemark&gt;</v>
      </c>
    </row>
    <row r="53" spans="1:6" x14ac:dyDescent="0.35">
      <c r="A53" s="1">
        <f>COUNTA(A$12:A52)-1</f>
        <v>40</v>
      </c>
      <c r="B53" s="3">
        <f t="shared" si="4"/>
        <v>-149.75</v>
      </c>
      <c r="C53" s="4">
        <f t="shared" si="0"/>
        <v>-20.500557777637336</v>
      </c>
      <c r="D53" s="4">
        <f t="shared" si="1"/>
        <v>-1.7986916097836314E-2</v>
      </c>
      <c r="E53" s="5">
        <f t="shared" si="5"/>
        <v>-20.5</v>
      </c>
      <c r="F53" t="str">
        <f t="shared" si="6"/>
        <v>&lt;Placemark&gt;&lt;name&gt;-20.5,-149.75&lt;/name&gt;&lt;Point&gt;&lt;coordinates&gt;-149.75,-20.5,0&lt;/coordinates&gt;&lt;/Point&gt;&lt;/Placemark&gt;</v>
      </c>
    </row>
    <row r="54" spans="1:6" x14ac:dyDescent="0.35">
      <c r="A54" s="1">
        <f>COUNTA(A$12:A53)-1</f>
        <v>41</v>
      </c>
      <c r="B54" s="3">
        <f t="shared" si="4"/>
        <v>-150</v>
      </c>
      <c r="C54" s="4">
        <f t="shared" si="0"/>
        <v>-20.518182723248771</v>
      </c>
      <c r="D54" s="4">
        <f t="shared" si="1"/>
        <v>-1.7624945611434129E-2</v>
      </c>
      <c r="E54" s="5">
        <f t="shared" si="5"/>
        <v>-20.52</v>
      </c>
      <c r="F54" t="str">
        <f t="shared" si="6"/>
        <v>&lt;Placemark&gt;&lt;name&gt;-20.52,-150&lt;/name&gt;&lt;Point&gt;&lt;coordinates&gt;-150,-20.52,0&lt;/coordinates&gt;&lt;/Point&gt;&lt;/Placemark&gt;</v>
      </c>
    </row>
    <row r="55" spans="1:6" x14ac:dyDescent="0.35">
      <c r="A55" s="1">
        <f>COUNTA(A$12:A54)-1</f>
        <v>42</v>
      </c>
      <c r="B55" s="3">
        <f t="shared" si="4"/>
        <v>-150.25</v>
      </c>
      <c r="C55" s="4">
        <f t="shared" si="0"/>
        <v>-20.535445608022385</v>
      </c>
      <c r="D55" s="4">
        <f t="shared" si="1"/>
        <v>-1.7262884773614928E-2</v>
      </c>
      <c r="E55" s="5">
        <f t="shared" si="5"/>
        <v>-20.54</v>
      </c>
      <c r="F55" t="str">
        <f t="shared" si="6"/>
        <v>&lt;Placemark&gt;&lt;name&gt;-20.54,-150.25&lt;/name&gt;&lt;Point&gt;&lt;coordinates&gt;-150.25,-20.54,0&lt;/coordinates&gt;&lt;/Point&gt;&lt;/Placemark&gt;</v>
      </c>
    </row>
    <row r="56" spans="1:6" x14ac:dyDescent="0.35">
      <c r="A56" s="1">
        <f>COUNTA(A$12:A55)-1</f>
        <v>43</v>
      </c>
      <c r="B56" s="3">
        <f t="shared" si="4"/>
        <v>-150.5</v>
      </c>
      <c r="C56" s="4">
        <f t="shared" si="0"/>
        <v>-20.552346343936502</v>
      </c>
      <c r="D56" s="4">
        <f t="shared" si="1"/>
        <v>-1.6900735914116893E-2</v>
      </c>
      <c r="E56" s="5">
        <f t="shared" si="5"/>
        <v>-20.55</v>
      </c>
      <c r="F56" t="str">
        <f t="shared" si="6"/>
        <v>&lt;Placemark&gt;&lt;name&gt;-20.55,-150.5&lt;/name&gt;&lt;Point&gt;&lt;coordinates&gt;-150.5,-20.55,0&lt;/coordinates&gt;&lt;/Point&gt;&lt;/Placemark&gt;</v>
      </c>
    </row>
    <row r="57" spans="1:6" x14ac:dyDescent="0.35">
      <c r="A57" s="1">
        <f>COUNTA(A$12:A56)-1</f>
        <v>44</v>
      </c>
      <c r="B57" s="3">
        <f t="shared" si="4"/>
        <v>-150.75</v>
      </c>
      <c r="C57" s="4">
        <f t="shared" si="0"/>
        <v>-20.568884845270201</v>
      </c>
      <c r="D57" s="4">
        <f t="shared" si="1"/>
        <v>-1.6538501333698719E-2</v>
      </c>
      <c r="E57" s="5">
        <f t="shared" si="5"/>
        <v>-20.57</v>
      </c>
      <c r="F57" t="str">
        <f t="shared" si="6"/>
        <v>&lt;Placemark&gt;&lt;name&gt;-20.57,-150.75&lt;/name&gt;&lt;Point&gt;&lt;coordinates&gt;-150.75,-20.57,0&lt;/coordinates&gt;&lt;/Point&gt;&lt;/Placemark&gt;</v>
      </c>
    </row>
    <row r="58" spans="1:6" x14ac:dyDescent="0.35">
      <c r="A58" s="1">
        <f>COUNTA(A$12:A57)-1</f>
        <v>45</v>
      </c>
      <c r="B58" s="3">
        <f t="shared" si="4"/>
        <v>-151</v>
      </c>
      <c r="C58" s="4">
        <f t="shared" si="0"/>
        <v>-20.585061028574952</v>
      </c>
      <c r="D58" s="4">
        <f t="shared" si="1"/>
        <v>-1.617618330475068E-2</v>
      </c>
      <c r="E58" s="5">
        <f t="shared" si="5"/>
        <v>-20.59</v>
      </c>
      <c r="F58" t="str">
        <f t="shared" si="6"/>
        <v>&lt;Placemark&gt;&lt;name&gt;-20.59,-151&lt;/name&gt;&lt;Point&gt;&lt;coordinates&gt;-151,-20.59,0&lt;/coordinates&gt;&lt;/Point&gt;&lt;/Placemark&gt;</v>
      </c>
    </row>
    <row r="59" spans="1:6" x14ac:dyDescent="0.35">
      <c r="A59" s="1">
        <f>COUNTA(A$12:A58)-1</f>
        <v>46</v>
      </c>
      <c r="B59" s="3">
        <f t="shared" si="4"/>
        <v>-151.25</v>
      </c>
      <c r="C59" s="4">
        <f t="shared" si="0"/>
        <v>-20.600874812646843</v>
      </c>
      <c r="D59" s="4">
        <f t="shared" si="1"/>
        <v>-1.581378407189149E-2</v>
      </c>
      <c r="E59" s="5">
        <f t="shared" si="5"/>
        <v>-20.6</v>
      </c>
      <c r="F59" t="str">
        <f t="shared" si="6"/>
        <v>&lt;Placemark&gt;&lt;name&gt;-20.6,-151.25&lt;/name&gt;&lt;Point&gt;&lt;coordinates&gt;-151.25,-20.6,0&lt;/coordinates&gt;&lt;/Point&gt;&lt;/Placemark&gt;</v>
      </c>
    </row>
    <row r="60" spans="1:6" x14ac:dyDescent="0.35">
      <c r="A60" s="1">
        <f>COUNTA(A$12:A59)-1</f>
        <v>47</v>
      </c>
      <c r="B60" s="3">
        <f t="shared" si="4"/>
        <v>-151.5</v>
      </c>
      <c r="C60" s="4">
        <f t="shared" si="0"/>
        <v>-20.616326118499337</v>
      </c>
      <c r="D60" s="4">
        <f t="shared" si="1"/>
        <v>-1.5451305852494102E-2</v>
      </c>
      <c r="E60" s="5">
        <f t="shared" si="5"/>
        <v>-20.62</v>
      </c>
      <c r="F60" t="str">
        <f t="shared" si="6"/>
        <v>&lt;Placemark&gt;&lt;name&gt;-20.62,-151.5&lt;/name&gt;&lt;Point&gt;&lt;coordinates&gt;-151.5,-20.62,0&lt;/coordinates&gt;&lt;/Point&gt;&lt;/Placemark&gt;</v>
      </c>
    </row>
    <row r="61" spans="1:6" x14ac:dyDescent="0.35">
      <c r="A61" s="1">
        <f>COUNTA(A$12:A60)-1</f>
        <v>48</v>
      </c>
      <c r="B61" s="3">
        <f t="shared" si="4"/>
        <v>-151.75</v>
      </c>
      <c r="C61" s="4">
        <f t="shared" si="0"/>
        <v>-20.631414869336712</v>
      </c>
      <c r="D61" s="4">
        <f t="shared" si="1"/>
        <v>-1.5088750837374931E-2</v>
      </c>
      <c r="E61" s="5">
        <f t="shared" si="5"/>
        <v>-20.63</v>
      </c>
      <c r="F61" t="str">
        <f t="shared" si="6"/>
        <v>&lt;Placemark&gt;&lt;name&gt;-20.63,-151.75&lt;/name&gt;&lt;Point&gt;&lt;coordinates&gt;-151.75,-20.63,0&lt;/coordinates&gt;&lt;/Point&gt;&lt;/Placemark&gt;</v>
      </c>
    </row>
    <row r="62" spans="1:6" x14ac:dyDescent="0.35">
      <c r="A62" s="1">
        <f>COUNTA(A$12:A61)-1</f>
        <v>49</v>
      </c>
      <c r="B62" s="3">
        <f t="shared" si="4"/>
        <v>-152</v>
      </c>
      <c r="C62" s="4">
        <f t="shared" si="0"/>
        <v>-20.646140990528004</v>
      </c>
      <c r="D62" s="4">
        <f t="shared" si="1"/>
        <v>-1.4726121191291242E-2</v>
      </c>
      <c r="E62" s="5">
        <f t="shared" si="5"/>
        <v>-20.65</v>
      </c>
      <c r="F62" t="str">
        <f t="shared" si="6"/>
        <v>&lt;Placemark&gt;&lt;name&gt;-20.65,-152&lt;/name&gt;&lt;Point&gt;&lt;coordinates&gt;-152,-20.65,0&lt;/coordinates&gt;&lt;/Point&gt;&lt;/Placemark&gt;</v>
      </c>
    </row>
    <row r="63" spans="1:6" x14ac:dyDescent="0.35">
      <c r="A63" s="1">
        <f>COUNTA(A$12:A62)-1</f>
        <v>50</v>
      </c>
      <c r="B63" s="3">
        <f t="shared" si="4"/>
        <v>-152.25</v>
      </c>
      <c r="C63" s="4">
        <f t="shared" si="0"/>
        <v>-20.660504409581623</v>
      </c>
      <c r="D63" s="4">
        <f t="shared" si="1"/>
        <v>-1.4363419053619708E-2</v>
      </c>
      <c r="E63" s="5">
        <f t="shared" si="5"/>
        <v>-20.66</v>
      </c>
      <c r="F63" t="str">
        <f t="shared" si="6"/>
        <v>&lt;Placemark&gt;&lt;name&gt;-20.66,-152.25&lt;/name&gt;&lt;Point&gt;&lt;coordinates&gt;-152.25,-20.66,0&lt;/coordinates&gt;&lt;/Point&gt;&lt;/Placemark&gt;</v>
      </c>
    </row>
    <row r="64" spans="1:6" x14ac:dyDescent="0.35">
      <c r="A64" s="1">
        <f>COUNTA(A$12:A63)-1</f>
        <v>51</v>
      </c>
      <c r="B64" s="3">
        <f t="shared" si="4"/>
        <v>-152.5</v>
      </c>
      <c r="C64" s="4">
        <f t="shared" si="0"/>
        <v>-20.674505056120491</v>
      </c>
      <c r="D64" s="4">
        <f t="shared" si="1"/>
        <v>-1.4000646538868011E-2</v>
      </c>
      <c r="E64" s="5">
        <f t="shared" si="5"/>
        <v>-20.67</v>
      </c>
      <c r="F64" t="str">
        <f t="shared" si="6"/>
        <v>&lt;Placemark&gt;&lt;name&gt;-20.67,-152.5&lt;/name&gt;&lt;Point&gt;&lt;coordinates&gt;-152.5,-20.67,0&lt;/coordinates&gt;&lt;/Point&gt;&lt;/Placemark&gt;</v>
      </c>
    </row>
    <row r="65" spans="1:6" x14ac:dyDescent="0.35">
      <c r="A65" s="1">
        <f>COUNTA(A$12:A64)-1</f>
        <v>52</v>
      </c>
      <c r="B65" s="3">
        <f t="shared" si="4"/>
        <v>-152.75</v>
      </c>
      <c r="C65" s="4">
        <f t="shared" si="0"/>
        <v>-20.688142861857838</v>
      </c>
      <c r="D65" s="4">
        <f t="shared" si="1"/>
        <v>-1.3637805737346298E-2</v>
      </c>
      <c r="E65" s="5">
        <f t="shared" si="5"/>
        <v>-20.69</v>
      </c>
      <c r="F65" t="str">
        <f t="shared" si="6"/>
        <v>&lt;Placemark&gt;&lt;name&gt;-20.69,-152.75&lt;/name&gt;&lt;Point&gt;&lt;coordinates&gt;-152.75,-20.69,0&lt;/coordinates&gt;&lt;/Point&gt;&lt;/Placemark&gt;</v>
      </c>
    </row>
    <row r="66" spans="1:6" x14ac:dyDescent="0.35">
      <c r="A66" s="1">
        <f>COUNTA(A$12:A65)-1</f>
        <v>53</v>
      </c>
      <c r="B66" s="3">
        <f t="shared" si="4"/>
        <v>-153</v>
      </c>
      <c r="C66" s="4">
        <f t="shared" si="0"/>
        <v>-20.701417760573563</v>
      </c>
      <c r="D66" s="4">
        <f t="shared" si="1"/>
        <v>-1.3274898715724959E-2</v>
      </c>
      <c r="E66" s="5">
        <f t="shared" si="5"/>
        <v>-20.7</v>
      </c>
      <c r="F66" t="str">
        <f t="shared" si="6"/>
        <v>&lt;Placemark&gt;&lt;name&gt;-20.7,-153&lt;/name&gt;&lt;Point&gt;&lt;coordinates&gt;-153,-20.7,0&lt;/coordinates&gt;&lt;/Point&gt;&lt;/Placemark&gt;</v>
      </c>
    </row>
    <row r="67" spans="1:6" x14ac:dyDescent="0.35">
      <c r="A67" s="1">
        <f>COUNTA(A$12:A66)-1</f>
        <v>54</v>
      </c>
      <c r="B67" s="3">
        <f t="shared" si="4"/>
        <v>-153.25</v>
      </c>
      <c r="C67" s="4">
        <f t="shared" si="0"/>
        <v>-20.71432968809119</v>
      </c>
      <c r="D67" s="4">
        <f t="shared" si="1"/>
        <v>-1.291192751762793E-2</v>
      </c>
      <c r="E67" s="5">
        <f t="shared" si="5"/>
        <v>-20.71</v>
      </c>
      <c r="F67" t="str">
        <f t="shared" si="6"/>
        <v>&lt;Placemark&gt;&lt;name&gt;-20.71,-153.25&lt;/name&gt;&lt;Point&gt;&lt;coordinates&gt;-153.25,-20.71,0&lt;/coordinates&gt;&lt;/Point&gt;&lt;/Placemark&gt;</v>
      </c>
    </row>
    <row r="68" spans="1:6" x14ac:dyDescent="0.35">
      <c r="A68" s="1">
        <f>COUNTA(A$12:A67)-1</f>
        <v>55</v>
      </c>
      <c r="B68" s="3">
        <f t="shared" si="4"/>
        <v>-153.5</v>
      </c>
      <c r="C68" s="4">
        <f t="shared" si="0"/>
        <v>-20.726878582255459</v>
      </c>
      <c r="D68" s="4">
        <f t="shared" si="1"/>
        <v>-1.2548894164268631E-2</v>
      </c>
      <c r="E68" s="5">
        <f t="shared" si="5"/>
        <v>-20.73</v>
      </c>
      <c r="F68" t="str">
        <f t="shared" si="6"/>
        <v>&lt;Placemark&gt;&lt;name&gt;-20.73,-153.5&lt;/name&gt;&lt;Point&gt;&lt;coordinates&gt;-153.5,-20.73,0&lt;/coordinates&gt;&lt;/Point&gt;&lt;/Placemark&gt;</v>
      </c>
    </row>
    <row r="69" spans="1:6" x14ac:dyDescent="0.35">
      <c r="A69" s="1">
        <f>COUNTA(A$12:A68)-1</f>
        <v>56</v>
      </c>
      <c r="B69" s="3">
        <f t="shared" si="4"/>
        <v>-153.75</v>
      </c>
      <c r="C69" s="4">
        <f t="shared" si="0"/>
        <v>-20.739064382910492</v>
      </c>
      <c r="D69" s="4">
        <f t="shared" si="1"/>
        <v>-1.2185800655032608E-2</v>
      </c>
      <c r="E69" s="5">
        <f t="shared" si="5"/>
        <v>-20.74</v>
      </c>
      <c r="F69" t="str">
        <f t="shared" si="6"/>
        <v>&lt;Placemark&gt;&lt;name&gt;-20.74,-153.75&lt;/name&gt;&lt;Point&gt;&lt;coordinates&gt;-153.75,-20.74,0&lt;/coordinates&gt;&lt;/Point&gt;&lt;/Placemark&gt;</v>
      </c>
    </row>
    <row r="70" spans="1:6" x14ac:dyDescent="0.35">
      <c r="A70" s="1">
        <f>COUNTA(A$12:A69)-1</f>
        <v>57</v>
      </c>
      <c r="B70" s="3">
        <f t="shared" si="4"/>
        <v>-154</v>
      </c>
      <c r="C70" s="4">
        <f t="shared" si="0"/>
        <v>-20.750887031878541</v>
      </c>
      <c r="D70" s="4">
        <f t="shared" si="1"/>
        <v>-1.1822648968049521E-2</v>
      </c>
      <c r="E70" s="5">
        <f t="shared" si="5"/>
        <v>-20.75</v>
      </c>
      <c r="F70" t="str">
        <f t="shared" si="6"/>
        <v>&lt;Placemark&gt;&lt;name&gt;-20.75,-154&lt;/name&gt;&lt;Point&gt;&lt;coordinates&gt;-154,-20.75,0&lt;/coordinates&gt;&lt;/Point&gt;&lt;/Placemark&gt;</v>
      </c>
    </row>
    <row r="71" spans="1:6" x14ac:dyDescent="0.35">
      <c r="A71" s="1">
        <f>COUNTA(A$12:A70)-1</f>
        <v>58</v>
      </c>
      <c r="B71" s="3">
        <f t="shared" si="4"/>
        <v>-154.25</v>
      </c>
      <c r="C71" s="4">
        <f t="shared" si="0"/>
        <v>-20.762346472939402</v>
      </c>
      <c r="D71" s="4">
        <f t="shared" si="1"/>
        <v>-1.1459441060861053E-2</v>
      </c>
      <c r="E71" s="5">
        <f t="shared" si="5"/>
        <v>-20.76</v>
      </c>
      <c r="F71" t="str">
        <f t="shared" si="6"/>
        <v>&lt;Placemark&gt;&lt;name&gt;-20.76,-154.25&lt;/name&gt;&lt;Point&gt;&lt;coordinates&gt;-154.25,-20.76,0&lt;/coordinates&gt;&lt;/Point&gt;&lt;/Placemark&gt;</v>
      </c>
    </row>
    <row r="72" spans="1:6" x14ac:dyDescent="0.35">
      <c r="A72" s="1">
        <f>COUNTA(A$12:A71)-1</f>
        <v>59</v>
      </c>
      <c r="B72" s="3">
        <f t="shared" si="4"/>
        <v>-154.5</v>
      </c>
      <c r="C72" s="4">
        <f t="shared" si="0"/>
        <v>-20.773442651810374</v>
      </c>
      <c r="D72" s="4">
        <f t="shared" si="1"/>
        <v>-1.1096178870971585E-2</v>
      </c>
      <c r="E72" s="5">
        <f t="shared" si="5"/>
        <v>-20.77</v>
      </c>
      <c r="F72" t="str">
        <f t="shared" si="6"/>
        <v>&lt;Placemark&gt;&lt;name&gt;-20.77,-154.5&lt;/name&gt;&lt;Point&gt;&lt;coordinates&gt;-154.5,-20.77,0&lt;/coordinates&gt;&lt;/Point&gt;&lt;/Placemark&gt;</v>
      </c>
    </row>
    <row r="73" spans="1:6" x14ac:dyDescent="0.35">
      <c r="A73" s="1">
        <f>COUNTA(A$12:A72)-1</f>
        <v>60</v>
      </c>
      <c r="B73" s="3">
        <f t="shared" si="4"/>
        <v>-154.75</v>
      </c>
      <c r="C73" s="4">
        <f t="shared" si="0"/>
        <v>-20.784175516126854</v>
      </c>
      <c r="D73" s="4">
        <f t="shared" si="1"/>
        <v>-1.0732864316480573E-2</v>
      </c>
      <c r="E73" s="5">
        <f t="shared" si="5"/>
        <v>-20.78</v>
      </c>
      <c r="F73" t="str">
        <f t="shared" si="6"/>
        <v>&lt;Placemark&gt;&lt;name&gt;-20.78,-154.75&lt;/name&gt;&lt;Point&gt;&lt;coordinates&gt;-154.75,-20.78,0&lt;/coordinates&gt;&lt;/Point&gt;&lt;/Placemark&gt;</v>
      </c>
    </row>
    <row r="74" spans="1:6" x14ac:dyDescent="0.35">
      <c r="A74" s="1">
        <f>COUNTA(A$12:A73)-1</f>
        <v>61</v>
      </c>
      <c r="B74" s="3">
        <f t="shared" si="4"/>
        <v>-155</v>
      </c>
      <c r="C74" s="4">
        <f t="shared" si="0"/>
        <v>-20.794545015423541</v>
      </c>
      <c r="D74" s="4">
        <f t="shared" si="1"/>
        <v>-1.0369499296686513E-2</v>
      </c>
      <c r="E74" s="5">
        <f t="shared" si="5"/>
        <v>-20.79</v>
      </c>
      <c r="F74" t="str">
        <f t="shared" si="6"/>
        <v>&lt;Placemark&gt;&lt;name&gt;-20.79,-155&lt;/name&gt;&lt;Point&gt;&lt;coordinates&gt;-155,-20.79,0&lt;/coordinates&gt;&lt;/Point&gt;&lt;/Placemark&gt;</v>
      </c>
    </row>
    <row r="75" spans="1:6" x14ac:dyDescent="0.35">
      <c r="A75" s="1">
        <f>COUNTA(A$12:A74)-1</f>
        <v>62</v>
      </c>
      <c r="B75" s="3">
        <f t="shared" si="4"/>
        <v>-155.25</v>
      </c>
      <c r="C75" s="4">
        <f t="shared" si="0"/>
        <v>-20.804551101116228</v>
      </c>
      <c r="D75" s="4">
        <f t="shared" si="1"/>
        <v>-1.000608569268735E-2</v>
      </c>
      <c r="E75" s="5">
        <f t="shared" si="5"/>
        <v>-20.8</v>
      </c>
      <c r="F75" t="str">
        <f t="shared" si="6"/>
        <v>&lt;Placemark&gt;&lt;name&gt;-20.8,-155.25&lt;/name&gt;&lt;Point&gt;&lt;coordinates&gt;-155.25,-20.8,0&lt;/coordinates&gt;&lt;/Point&gt;&lt;/Placemark&gt;</v>
      </c>
    </row>
    <row r="76" spans="1:6" x14ac:dyDescent="0.35">
      <c r="A76" s="1">
        <f>COUNTA(A$12:A75)-1</f>
        <v>63</v>
      </c>
      <c r="B76" s="3">
        <f t="shared" si="4"/>
        <v>-155.5</v>
      </c>
      <c r="C76" s="4">
        <f t="shared" si="0"/>
        <v>-20.814193726484216</v>
      </c>
      <c r="D76" s="4">
        <f t="shared" si="1"/>
        <v>-9.6426253679879892E-3</v>
      </c>
      <c r="E76" s="5">
        <f t="shared" si="5"/>
        <v>-20.81</v>
      </c>
      <c r="F76" t="str">
        <f t="shared" si="6"/>
        <v>&lt;Placemark&gt;&lt;name&gt;-20.81,-155.5&lt;/name&gt;&lt;Point&gt;&lt;coordinates&gt;-155.5,-20.81,0&lt;/coordinates&gt;&lt;/Point&gt;&lt;/Placemark&gt;</v>
      </c>
    </row>
    <row r="77" spans="1:6" x14ac:dyDescent="0.35">
      <c r="A77" s="1">
        <f>COUNTA(A$12:A76)-1</f>
        <v>64</v>
      </c>
      <c r="B77" s="3">
        <f t="shared" si="4"/>
        <v>-155.75</v>
      </c>
      <c r="C77" s="4">
        <f t="shared" ref="C77:C140" si="7">DEGREES(ATAN($B$7 * SIN(RADIANS(B77)) + $B$8 * COS(RADIANS(B77))))</f>
        <v>-20.823472846653345</v>
      </c>
      <c r="D77" s="4">
        <f t="shared" ref="D77:D140" si="8">IF(C76="Lat","",C77-C76)</f>
        <v>-9.2791201691291292E-3</v>
      </c>
      <c r="E77" s="5">
        <f t="shared" si="5"/>
        <v>-20.82</v>
      </c>
      <c r="F77" t="str">
        <f t="shared" si="6"/>
        <v>&lt;Placemark&gt;&lt;name&gt;-20.82,-155.75&lt;/name&gt;&lt;Point&gt;&lt;coordinates&gt;-155.75,-20.82,0&lt;/coordinates&gt;&lt;/Point&gt;&lt;/Placemark&gt;</v>
      </c>
    </row>
    <row r="78" spans="1:6" x14ac:dyDescent="0.35">
      <c r="A78" s="1">
        <f>COUNTA(A$12:A77)-1</f>
        <v>65</v>
      </c>
      <c r="B78" s="3">
        <f t="shared" si="4"/>
        <v>-156</v>
      </c>
      <c r="C78" s="4">
        <f t="shared" si="7"/>
        <v>-20.832388418579622</v>
      </c>
      <c r="D78" s="4">
        <f t="shared" si="8"/>
        <v>-8.9155719262770106E-3</v>
      </c>
      <c r="E78" s="5">
        <f t="shared" si="5"/>
        <v>-20.83</v>
      </c>
      <c r="F78" t="str">
        <f t="shared" si="6"/>
        <v>&lt;Placemark&gt;&lt;name&gt;-20.83,-156&lt;/name&gt;&lt;Point&gt;&lt;coordinates&gt;-156,-20.83,0&lt;/coordinates&gt;&lt;/Point&gt;&lt;/Placemark&gt;</v>
      </c>
    </row>
    <row r="79" spans="1:6" x14ac:dyDescent="0.35">
      <c r="A79" s="1">
        <f>COUNTA(A$12:A78)-1</f>
        <v>66</v>
      </c>
      <c r="B79" s="3">
        <f t="shared" ref="B79:B142" si="9">B78-0.25</f>
        <v>-156.25</v>
      </c>
      <c r="C79" s="4">
        <f t="shared" si="7"/>
        <v>-20.840940401033457</v>
      </c>
      <c r="D79" s="4">
        <f t="shared" si="8"/>
        <v>-8.5519824538344835E-3</v>
      </c>
      <c r="E79" s="5">
        <f t="shared" ref="E79:E142" si="10">ROUND(C79,2)</f>
        <v>-20.84</v>
      </c>
      <c r="F79" t="str">
        <f t="shared" ref="F79:F142" si="11">"&lt;Placemark&gt;&lt;name&gt;"&amp;E79&amp;","&amp;B79&amp;"&lt;/name&gt;&lt;Point&gt;&lt;coordinates&gt;"&amp;B79&amp;","&amp;E79&amp;",0&lt;/coordinates&gt;&lt;/Point&gt;&lt;/Placemark&gt;"</f>
        <v>&lt;Placemark&gt;&lt;name&gt;-20.84,-156.25&lt;/name&gt;&lt;Point&gt;&lt;coordinates&gt;-156.25,-20.84,0&lt;/coordinates&gt;&lt;/Point&gt;&lt;/Placemark&gt;</v>
      </c>
    </row>
    <row r="80" spans="1:6" x14ac:dyDescent="0.35">
      <c r="A80" s="1">
        <f>COUNTA(A$12:A79)-1</f>
        <v>67</v>
      </c>
      <c r="B80" s="3">
        <f t="shared" si="9"/>
        <v>-156.5</v>
      </c>
      <c r="C80" s="4">
        <f t="shared" si="7"/>
        <v>-20.849128754584545</v>
      </c>
      <c r="D80" s="4">
        <f t="shared" si="8"/>
        <v>-8.1883535510876015E-3</v>
      </c>
      <c r="E80" s="5">
        <f t="shared" si="10"/>
        <v>-20.85</v>
      </c>
      <c r="F80" t="str">
        <f t="shared" si="11"/>
        <v>&lt;Placemark&gt;&lt;name&gt;-20.85,-156.5&lt;/name&gt;&lt;Point&gt;&lt;coordinates&gt;-156.5,-20.85,0&lt;/coordinates&gt;&lt;/Point&gt;&lt;/Placemark&gt;</v>
      </c>
    </row>
    <row r="81" spans="1:6" x14ac:dyDescent="0.35">
      <c r="A81" s="1">
        <f>COUNTA(A$12:A80)-1</f>
        <v>68</v>
      </c>
      <c r="B81" s="3">
        <f t="shared" si="9"/>
        <v>-156.75</v>
      </c>
      <c r="C81" s="4">
        <f t="shared" si="7"/>
        <v>-20.856953441587297</v>
      </c>
      <c r="D81" s="4">
        <f t="shared" si="8"/>
        <v>-7.8246870027527393E-3</v>
      </c>
      <c r="E81" s="5">
        <f t="shared" si="10"/>
        <v>-20.86</v>
      </c>
      <c r="F81" t="str">
        <f t="shared" si="11"/>
        <v>&lt;Placemark&gt;&lt;name&gt;-20.86,-156.75&lt;/name&gt;&lt;Point&gt;&lt;coordinates&gt;-156.75,-20.86,0&lt;/coordinates&gt;&lt;/Point&gt;&lt;/Placemark&gt;</v>
      </c>
    </row>
    <row r="82" spans="1:6" x14ac:dyDescent="0.35">
      <c r="A82" s="1">
        <f>COUNTA(A$12:A81)-1</f>
        <v>69</v>
      </c>
      <c r="B82" s="3">
        <f t="shared" si="9"/>
        <v>-157</v>
      </c>
      <c r="C82" s="4">
        <f t="shared" si="7"/>
        <v>-20.864414426166956</v>
      </c>
      <c r="D82" s="4">
        <f t="shared" si="8"/>
        <v>-7.4609845796587138E-3</v>
      </c>
      <c r="E82" s="5">
        <f t="shared" si="10"/>
        <v>-20.86</v>
      </c>
      <c r="F82" t="str">
        <f t="shared" si="11"/>
        <v>&lt;Placemark&gt;&lt;name&gt;-20.86,-157&lt;/name&gt;&lt;Point&gt;&lt;coordinates&gt;-157,-20.86,0&lt;/coordinates&gt;&lt;/Point&gt;&lt;/Placemark&gt;</v>
      </c>
    </row>
    <row r="83" spans="1:6" x14ac:dyDescent="0.35">
      <c r="A83" s="1">
        <f>COUNTA(A$12:A82)-1</f>
        <v>70</v>
      </c>
      <c r="B83" s="3">
        <f t="shared" si="9"/>
        <v>-157.25</v>
      </c>
      <c r="C83" s="4">
        <f t="shared" si="7"/>
        <v>-20.871511674206278</v>
      </c>
      <c r="D83" s="4">
        <f t="shared" si="8"/>
        <v>-7.0972480393223236E-3</v>
      </c>
      <c r="E83" s="5">
        <f t="shared" si="10"/>
        <v>-20.87</v>
      </c>
      <c r="F83" t="str">
        <f t="shared" si="11"/>
        <v>&lt;Placemark&gt;&lt;name&gt;-20.87,-157.25&lt;/name&gt;&lt;Point&gt;&lt;coordinates&gt;-157.25,-20.87,0&lt;/coordinates&gt;&lt;/Point&gt;&lt;/Placemark&gt;</v>
      </c>
    </row>
    <row r="84" spans="1:6" x14ac:dyDescent="0.35">
      <c r="A84" s="1">
        <f>COUNTA(A$12:A83)-1</f>
        <v>71</v>
      </c>
      <c r="B84" s="3">
        <f t="shared" si="9"/>
        <v>-157.5</v>
      </c>
      <c r="C84" s="4">
        <f t="shared" si="7"/>
        <v>-20.878245153332845</v>
      </c>
      <c r="D84" s="4">
        <f t="shared" si="8"/>
        <v>-6.7334791265665217E-3</v>
      </c>
      <c r="E84" s="5">
        <f t="shared" si="10"/>
        <v>-20.88</v>
      </c>
      <c r="F84" t="str">
        <f t="shared" si="11"/>
        <v>&lt;Placemark&gt;&lt;name&gt;-20.88,-157.5&lt;/name&gt;&lt;Point&gt;&lt;coordinates&gt;-157.5,-20.88,0&lt;/coordinates&gt;&lt;/Point&gt;&lt;/Placemark&gt;</v>
      </c>
    </row>
    <row r="85" spans="1:6" x14ac:dyDescent="0.35">
      <c r="A85" s="1">
        <f>COUNTA(A$12:A84)-1</f>
        <v>72</v>
      </c>
      <c r="B85" s="3">
        <f t="shared" si="9"/>
        <v>-157.75</v>
      </c>
      <c r="C85" s="4">
        <f t="shared" si="7"/>
        <v>-20.884614832906998</v>
      </c>
      <c r="D85" s="4">
        <f t="shared" si="8"/>
        <v>-6.3696795741527978E-3</v>
      </c>
      <c r="E85" s="5">
        <f t="shared" si="10"/>
        <v>-20.88</v>
      </c>
      <c r="F85" t="str">
        <f t="shared" si="11"/>
        <v>&lt;Placemark&gt;&lt;name&gt;-20.88,-157.75&lt;/name&gt;&lt;Point&gt;&lt;coordinates&gt;-157.75,-20.88,0&lt;/coordinates&gt;&lt;/Point&gt;&lt;/Placemark&gt;</v>
      </c>
    </row>
    <row r="86" spans="1:6" x14ac:dyDescent="0.35">
      <c r="A86" s="1">
        <f>COUNTA(A$12:A85)-1</f>
        <v>73</v>
      </c>
      <c r="B86" s="3">
        <f t="shared" si="9"/>
        <v>-158</v>
      </c>
      <c r="C86" s="4">
        <f t="shared" si="7"/>
        <v>-20.890620684010372</v>
      </c>
      <c r="D86" s="4">
        <f t="shared" si="8"/>
        <v>-6.0058511033744821E-3</v>
      </c>
      <c r="E86" s="5">
        <f t="shared" si="10"/>
        <v>-20.89</v>
      </c>
      <c r="F86" t="str">
        <f t="shared" si="11"/>
        <v>&lt;Placemark&gt;&lt;name&gt;-20.89,-158&lt;/name&gt;&lt;Point&gt;&lt;coordinates&gt;-158,-20.89,0&lt;/coordinates&gt;&lt;/Point&gt;&lt;/Placemark&gt;</v>
      </c>
    </row>
    <row r="87" spans="1:6" x14ac:dyDescent="0.35">
      <c r="A87" s="1">
        <f>COUNTA(A$12:A86)-1</f>
        <v>74</v>
      </c>
      <c r="B87" s="3">
        <f t="shared" si="9"/>
        <v>-158.25</v>
      </c>
      <c r="C87" s="4">
        <f t="shared" si="7"/>
        <v>-20.896262679435061</v>
      </c>
      <c r="D87" s="4">
        <f t="shared" si="8"/>
        <v>-5.641995424689128E-3</v>
      </c>
      <c r="E87" s="5">
        <f t="shared" si="10"/>
        <v>-20.9</v>
      </c>
      <c r="F87" t="str">
        <f t="shared" si="11"/>
        <v>&lt;Placemark&gt;&lt;name&gt;-20.9,-158.25&lt;/name&gt;&lt;Point&gt;&lt;coordinates&gt;-158.25,-20.9,0&lt;/coordinates&gt;&lt;/Point&gt;&lt;/Placemark&gt;</v>
      </c>
    </row>
    <row r="88" spans="1:6" x14ac:dyDescent="0.35">
      <c r="A88" s="1">
        <f>COUNTA(A$12:A87)-1</f>
        <v>75</v>
      </c>
      <c r="B88" s="3">
        <f t="shared" si="9"/>
        <v>-158.5</v>
      </c>
      <c r="C88" s="4">
        <f t="shared" si="7"/>
        <v>-20.90154079367338</v>
      </c>
      <c r="D88" s="4">
        <f t="shared" si="8"/>
        <v>-5.2781142383189206E-3</v>
      </c>
      <c r="E88" s="5">
        <f t="shared" si="10"/>
        <v>-20.9</v>
      </c>
      <c r="F88" t="str">
        <f t="shared" si="11"/>
        <v>&lt;Placemark&gt;&lt;name&gt;-20.9,-158.5&lt;/name&gt;&lt;Point&gt;&lt;coordinates&gt;-158.5,-20.9,0&lt;/coordinates&gt;&lt;/Point&gt;&lt;/Placemark&gt;</v>
      </c>
    </row>
    <row r="89" spans="1:6" x14ac:dyDescent="0.35">
      <c r="A89" s="1">
        <f>COUNTA(A$12:A88)-1</f>
        <v>76</v>
      </c>
      <c r="B89" s="3">
        <f t="shared" si="9"/>
        <v>-158.75</v>
      </c>
      <c r="C89" s="4">
        <f t="shared" si="7"/>
        <v>-20.906455002908288</v>
      </c>
      <c r="D89" s="4">
        <f t="shared" si="8"/>
        <v>-4.9142092349079292E-3</v>
      </c>
      <c r="E89" s="5">
        <f t="shared" si="10"/>
        <v>-20.91</v>
      </c>
      <c r="F89" t="str">
        <f t="shared" si="11"/>
        <v>&lt;Placemark&gt;&lt;name&gt;-20.91,-158.75&lt;/name&gt;&lt;Point&gt;&lt;coordinates&gt;-158.75,-20.91,0&lt;/coordinates&gt;&lt;/Point&gt;&lt;/Placemark&gt;</v>
      </c>
    </row>
    <row r="90" spans="1:6" x14ac:dyDescent="0.35">
      <c r="A90" s="1">
        <f>COUNTA(A$12:A89)-1</f>
        <v>77</v>
      </c>
      <c r="B90" s="3">
        <f t="shared" si="9"/>
        <v>-159</v>
      </c>
      <c r="C90" s="4">
        <f t="shared" si="7"/>
        <v>-20.911005285004364</v>
      </c>
      <c r="D90" s="4">
        <f t="shared" si="8"/>
        <v>-4.5502820960763302E-3</v>
      </c>
      <c r="E90" s="5">
        <f t="shared" si="10"/>
        <v>-20.91</v>
      </c>
      <c r="F90" t="str">
        <f t="shared" si="11"/>
        <v>&lt;Placemark&gt;&lt;name&gt;-20.91,-159&lt;/name&gt;&lt;Point&gt;&lt;coordinates&gt;-159,-20.91,0&lt;/coordinates&gt;&lt;/Point&gt;&lt;/Placemark&gt;</v>
      </c>
    </row>
    <row r="91" spans="1:6" x14ac:dyDescent="0.35">
      <c r="A91" s="1">
        <f>COUNTA(A$12:A90)-1</f>
        <v>78</v>
      </c>
      <c r="B91" s="3">
        <f t="shared" si="9"/>
        <v>-159.25</v>
      </c>
      <c r="C91" s="4">
        <f t="shared" si="7"/>
        <v>-20.915191619499463</v>
      </c>
      <c r="D91" s="4">
        <f t="shared" si="8"/>
        <v>-4.1863344950989756E-3</v>
      </c>
      <c r="E91" s="5">
        <f t="shared" si="10"/>
        <v>-20.92</v>
      </c>
      <c r="F91" t="str">
        <f t="shared" si="11"/>
        <v>&lt;Placemark&gt;&lt;name&gt;-20.92,-159.25&lt;/name&gt;&lt;Point&gt;&lt;coordinates&gt;-159.25,-20.92,0&lt;/coordinates&gt;&lt;/Point&gt;&lt;/Placemark&gt;</v>
      </c>
    </row>
    <row r="92" spans="1:6" x14ac:dyDescent="0.35">
      <c r="A92" s="1">
        <f>COUNTA(A$12:A91)-1</f>
        <v>79</v>
      </c>
      <c r="B92" s="3">
        <f t="shared" si="9"/>
        <v>-159.5</v>
      </c>
      <c r="C92" s="4">
        <f t="shared" si="7"/>
        <v>-20.919013987596955</v>
      </c>
      <c r="D92" s="4">
        <f t="shared" si="8"/>
        <v>-3.8223680974915908E-3</v>
      </c>
      <c r="E92" s="5">
        <f t="shared" si="10"/>
        <v>-20.92</v>
      </c>
      <c r="F92" t="str">
        <f t="shared" si="11"/>
        <v>&lt;Placemark&gt;&lt;name&gt;-20.92,-159.5&lt;/name&gt;&lt;Point&gt;&lt;coordinates&gt;-159.5,-20.92,0&lt;/coordinates&gt;&lt;/Point&gt;&lt;/Placemark&gt;</v>
      </c>
    </row>
    <row r="93" spans="1:6" x14ac:dyDescent="0.35">
      <c r="A93" s="1">
        <f>COUNTA(A$12:A92)-1</f>
        <v>80</v>
      </c>
      <c r="B93" s="3">
        <f t="shared" si="9"/>
        <v>-159.75</v>
      </c>
      <c r="C93" s="4">
        <f t="shared" si="7"/>
        <v>-20.922472372158587</v>
      </c>
      <c r="D93" s="4">
        <f t="shared" si="8"/>
        <v>-3.4583845616324993E-3</v>
      </c>
      <c r="E93" s="5">
        <f t="shared" si="10"/>
        <v>-20.92</v>
      </c>
      <c r="F93" t="str">
        <f t="shared" si="11"/>
        <v>&lt;Placemark&gt;&lt;name&gt;-20.92,-159.75&lt;/name&gt;&lt;Point&gt;&lt;coordinates&gt;-159.75,-20.92,0&lt;/coordinates&gt;&lt;/Point&gt;&lt;/Placemark&gt;</v>
      </c>
    </row>
    <row r="94" spans="1:6" x14ac:dyDescent="0.35">
      <c r="A94" s="1">
        <f>COUNTA(A$12:A93)-1</f>
        <v>81</v>
      </c>
      <c r="B94" s="3">
        <f t="shared" si="9"/>
        <v>-160</v>
      </c>
      <c r="C94" s="4">
        <f t="shared" si="7"/>
        <v>-20.925566757697965</v>
      </c>
      <c r="D94" s="4">
        <f t="shared" si="8"/>
        <v>-3.0943855393772424E-3</v>
      </c>
      <c r="E94" s="5">
        <f t="shared" si="10"/>
        <v>-20.93</v>
      </c>
      <c r="F94" t="str">
        <f t="shared" si="11"/>
        <v>&lt;Placemark&gt;&lt;name&gt;-20.93,-160&lt;/name&gt;&lt;Point&gt;&lt;coordinates&gt;-160,-20.93,0&lt;/coordinates&gt;&lt;/Point&gt;&lt;/Placemark&gt;</v>
      </c>
    </row>
    <row r="95" spans="1:6" x14ac:dyDescent="0.35">
      <c r="A95" s="1">
        <f>COUNTA(A$12:A94)-1</f>
        <v>82</v>
      </c>
      <c r="B95" s="3">
        <f t="shared" si="9"/>
        <v>-160.25</v>
      </c>
      <c r="C95" s="4">
        <f t="shared" si="7"/>
        <v>-20.928297130374684</v>
      </c>
      <c r="D95" s="4">
        <f t="shared" si="8"/>
        <v>-2.7303726767193837E-3</v>
      </c>
      <c r="E95" s="5">
        <f t="shared" si="10"/>
        <v>-20.93</v>
      </c>
      <c r="F95" t="str">
        <f t="shared" si="11"/>
        <v>&lt;Placemark&gt;&lt;name&gt;-20.93,-160.25&lt;/name&gt;&lt;Point&gt;&lt;coordinates&gt;-160.25,-20.93,0&lt;/coordinates&gt;&lt;/Point&gt;&lt;/Placemark&gt;</v>
      </c>
    </row>
    <row r="96" spans="1:6" x14ac:dyDescent="0.35">
      <c r="A96" s="1">
        <f>COUNTA(A$12:A95)-1</f>
        <v>83</v>
      </c>
      <c r="B96" s="3">
        <f t="shared" si="9"/>
        <v>-160.5</v>
      </c>
      <c r="C96" s="4">
        <f t="shared" si="7"/>
        <v>-20.930663477989032</v>
      </c>
      <c r="D96" s="4">
        <f t="shared" si="8"/>
        <v>-2.3663476143482853E-3</v>
      </c>
      <c r="E96" s="5">
        <f t="shared" si="10"/>
        <v>-20.93</v>
      </c>
      <c r="F96" t="str">
        <f t="shared" si="11"/>
        <v>&lt;Placemark&gt;&lt;name&gt;-20.93,-160.5&lt;/name&gt;&lt;Point&gt;&lt;coordinates&gt;-160.5,-20.93,0&lt;/coordinates&gt;&lt;/Point&gt;&lt;/Placemark&gt;</v>
      </c>
    </row>
    <row r="97" spans="1:6" x14ac:dyDescent="0.35">
      <c r="A97" s="1">
        <f>COUNTA(A$12:A96)-1</f>
        <v>84</v>
      </c>
      <c r="B97" s="3">
        <f t="shared" si="9"/>
        <v>-160.75</v>
      </c>
      <c r="C97" s="4">
        <f t="shared" si="7"/>
        <v>-20.932665789977328</v>
      </c>
      <c r="D97" s="4">
        <f t="shared" si="8"/>
        <v>-2.0023119882957019E-3</v>
      </c>
      <c r="E97" s="5">
        <f t="shared" si="10"/>
        <v>-20.93</v>
      </c>
      <c r="F97" t="str">
        <f t="shared" si="11"/>
        <v>&lt;Placemark&gt;&lt;name&gt;-20.93,-160.75&lt;/name&gt;&lt;Point&gt;&lt;coordinates&gt;-160.75,-20.93,0&lt;/coordinates&gt;&lt;/Point&gt;&lt;/Placemark&gt;</v>
      </c>
    </row>
    <row r="98" spans="1:6" x14ac:dyDescent="0.35">
      <c r="A98" s="1">
        <f>COUNTA(A$12:A97)-1</f>
        <v>85</v>
      </c>
      <c r="B98" s="3">
        <f t="shared" si="9"/>
        <v>-161</v>
      </c>
      <c r="C98" s="4">
        <f t="shared" si="7"/>
        <v>-20.934304057407918</v>
      </c>
      <c r="D98" s="4">
        <f t="shared" si="8"/>
        <v>-1.6382674305894795E-3</v>
      </c>
      <c r="E98" s="5">
        <f t="shared" si="10"/>
        <v>-20.93</v>
      </c>
      <c r="F98" t="str">
        <f t="shared" si="11"/>
        <v>&lt;Placemark&gt;&lt;name&gt;-20.93,-161&lt;/name&gt;&lt;Point&gt;&lt;coordinates&gt;-161,-20.93,0&lt;/coordinates&gt;&lt;/Point&gt;&lt;/Placemark&gt;</v>
      </c>
    </row>
    <row r="99" spans="1:6" x14ac:dyDescent="0.35">
      <c r="A99" s="1">
        <f>COUNTA(A$12:A98)-1</f>
        <v>86</v>
      </c>
      <c r="B99" s="3">
        <f t="shared" si="9"/>
        <v>-161.25</v>
      </c>
      <c r="C99" s="4">
        <f t="shared" si="7"/>
        <v>-20.935578272977725</v>
      </c>
      <c r="D99" s="4">
        <f t="shared" si="8"/>
        <v>-1.2742155698077795E-3</v>
      </c>
      <c r="E99" s="5">
        <f t="shared" si="10"/>
        <v>-20.94</v>
      </c>
      <c r="F99" t="str">
        <f t="shared" si="11"/>
        <v>&lt;Placemark&gt;&lt;name&gt;-20.94,-161.25&lt;/name&gt;&lt;Point&gt;&lt;coordinates&gt;-161.25,-20.94,0&lt;/coordinates&gt;&lt;/Point&gt;&lt;/Placemark&gt;</v>
      </c>
    </row>
    <row r="100" spans="1:6" x14ac:dyDescent="0.35">
      <c r="A100" s="1">
        <f>COUNTA(A$12:A99)-1</f>
        <v>87</v>
      </c>
      <c r="B100" s="3">
        <f t="shared" si="9"/>
        <v>-161.5</v>
      </c>
      <c r="C100" s="4">
        <f t="shared" si="7"/>
        <v>-20.936488431009487</v>
      </c>
      <c r="D100" s="4">
        <f t="shared" si="8"/>
        <v>-9.1015803176119903E-4</v>
      </c>
      <c r="E100" s="5">
        <f t="shared" si="10"/>
        <v>-20.94</v>
      </c>
      <c r="F100" t="str">
        <f t="shared" si="11"/>
        <v>&lt;Placemark&gt;&lt;name&gt;-20.94,-161.5&lt;/name&gt;&lt;Point&gt;&lt;coordinates&gt;-161.5,-20.94,0&lt;/coordinates&gt;&lt;/Point&gt;&lt;/Placemark&gt;</v>
      </c>
    </row>
    <row r="101" spans="1:6" x14ac:dyDescent="0.35">
      <c r="A101" s="1">
        <f>COUNTA(A$12:A100)-1</f>
        <v>88</v>
      </c>
      <c r="B101" s="3">
        <f t="shared" si="9"/>
        <v>-161.75</v>
      </c>
      <c r="C101" s="4">
        <f t="shared" si="7"/>
        <v>-20.937034527449566</v>
      </c>
      <c r="D101" s="4">
        <f t="shared" si="8"/>
        <v>-5.4609644007896918E-4</v>
      </c>
      <c r="E101" s="5">
        <f t="shared" si="10"/>
        <v>-20.94</v>
      </c>
      <c r="F101" t="str">
        <f t="shared" si="11"/>
        <v>&lt;Placemark&gt;&lt;name&gt;-20.94,-161.75&lt;/name&gt;&lt;Point&gt;&lt;coordinates&gt;-161.75,-20.94,0&lt;/coordinates&gt;&lt;/Point&gt;&lt;/Placemark&gt;</v>
      </c>
    </row>
    <row r="102" spans="1:6" x14ac:dyDescent="0.35">
      <c r="A102" s="1">
        <f>COUNTA(A$12:A101)-1</f>
        <v>89</v>
      </c>
      <c r="B102" s="3">
        <f t="shared" si="9"/>
        <v>-162</v>
      </c>
      <c r="C102" s="4">
        <f t="shared" si="7"/>
        <v>-20.937216559866396</v>
      </c>
      <c r="D102" s="4">
        <f t="shared" si="8"/>
        <v>-1.8203241683067972E-4</v>
      </c>
      <c r="E102" s="5">
        <f t="shared" si="10"/>
        <v>-20.94</v>
      </c>
      <c r="F102" t="str">
        <f t="shared" si="11"/>
        <v>&lt;Placemark&gt;&lt;name&gt;-20.94,-162&lt;/name&gt;&lt;Point&gt;&lt;coordinates&gt;-162,-20.94,0&lt;/coordinates&gt;&lt;/Point&gt;&lt;/Placemark&gt;</v>
      </c>
    </row>
    <row r="103" spans="1:6" x14ac:dyDescent="0.35">
      <c r="A103" s="1">
        <f>COUNTA(A$12:A102)-1</f>
        <v>90</v>
      </c>
      <c r="B103" s="3">
        <f t="shared" si="9"/>
        <v>-162.25</v>
      </c>
      <c r="C103" s="4">
        <f t="shared" si="7"/>
        <v>-20.937034527449566</v>
      </c>
      <c r="D103" s="4">
        <f t="shared" si="8"/>
        <v>1.8203241683067972E-4</v>
      </c>
      <c r="E103" s="5">
        <f t="shared" si="10"/>
        <v>-20.94</v>
      </c>
      <c r="F103" t="str">
        <f t="shared" si="11"/>
        <v>&lt;Placemark&gt;&lt;name&gt;-20.94,-162.25&lt;/name&gt;&lt;Point&gt;&lt;coordinates&gt;-162.25,-20.94,0&lt;/coordinates&gt;&lt;/Point&gt;&lt;/Placemark&gt;</v>
      </c>
    </row>
    <row r="104" spans="1:6" x14ac:dyDescent="0.35">
      <c r="A104" s="1">
        <f>COUNTA(A$12:A103)-1</f>
        <v>91</v>
      </c>
      <c r="B104" s="3">
        <f t="shared" si="9"/>
        <v>-162.5</v>
      </c>
      <c r="C104" s="4">
        <f t="shared" si="7"/>
        <v>-20.936488431009487</v>
      </c>
      <c r="D104" s="4">
        <f t="shared" si="8"/>
        <v>5.4609644007896918E-4</v>
      </c>
      <c r="E104" s="5">
        <f t="shared" si="10"/>
        <v>-20.94</v>
      </c>
      <c r="F104" t="str">
        <f t="shared" si="11"/>
        <v>&lt;Placemark&gt;&lt;name&gt;-20.94,-162.5&lt;/name&gt;&lt;Point&gt;&lt;coordinates&gt;-162.5,-20.94,0&lt;/coordinates&gt;&lt;/Point&gt;&lt;/Placemark&gt;</v>
      </c>
    </row>
    <row r="105" spans="1:6" x14ac:dyDescent="0.35">
      <c r="A105" s="1">
        <f>COUNTA(A$12:A104)-1</f>
        <v>92</v>
      </c>
      <c r="B105" s="3">
        <f t="shared" si="9"/>
        <v>-162.75</v>
      </c>
      <c r="C105" s="4">
        <f t="shared" si="7"/>
        <v>-20.935578272977729</v>
      </c>
      <c r="D105" s="4">
        <f t="shared" si="8"/>
        <v>9.1015803175764631E-4</v>
      </c>
      <c r="E105" s="5">
        <f t="shared" si="10"/>
        <v>-20.94</v>
      </c>
      <c r="F105" t="str">
        <f t="shared" si="11"/>
        <v>&lt;Placemark&gt;&lt;name&gt;-20.94,-162.75&lt;/name&gt;&lt;Point&gt;&lt;coordinates&gt;-162.75,-20.94,0&lt;/coordinates&gt;&lt;/Point&gt;&lt;/Placemark&gt;</v>
      </c>
    </row>
    <row r="106" spans="1:6" x14ac:dyDescent="0.35">
      <c r="A106" s="1">
        <f>COUNTA(A$12:A105)-1</f>
        <v>93</v>
      </c>
      <c r="B106" s="3">
        <f t="shared" si="9"/>
        <v>-163</v>
      </c>
      <c r="C106" s="4">
        <f t="shared" si="7"/>
        <v>-20.934304057407914</v>
      </c>
      <c r="D106" s="4">
        <f t="shared" si="8"/>
        <v>1.2742155698148849E-3</v>
      </c>
      <c r="E106" s="5">
        <f t="shared" si="10"/>
        <v>-20.93</v>
      </c>
      <c r="F106" t="str">
        <f t="shared" si="11"/>
        <v>&lt;Placemark&gt;&lt;name&gt;-20.93,-163&lt;/name&gt;&lt;Point&gt;&lt;coordinates&gt;-163,-20.93,0&lt;/coordinates&gt;&lt;/Point&gt;&lt;/Placemark&gt;</v>
      </c>
    </row>
    <row r="107" spans="1:6" x14ac:dyDescent="0.35">
      <c r="A107" s="1">
        <f>COUNTA(A$12:A106)-1</f>
        <v>94</v>
      </c>
      <c r="B107" s="3">
        <f t="shared" si="9"/>
        <v>-163.25</v>
      </c>
      <c r="C107" s="4">
        <f t="shared" si="7"/>
        <v>-20.932665789977328</v>
      </c>
      <c r="D107" s="4">
        <f t="shared" si="8"/>
        <v>1.6382674305859268E-3</v>
      </c>
      <c r="E107" s="5">
        <f t="shared" si="10"/>
        <v>-20.93</v>
      </c>
      <c r="F107" t="str">
        <f t="shared" si="11"/>
        <v>&lt;Placemark&gt;&lt;name&gt;-20.93,-163.25&lt;/name&gt;&lt;Point&gt;&lt;coordinates&gt;-163.25,-20.93,0&lt;/coordinates&gt;&lt;/Point&gt;&lt;/Placemark&gt;</v>
      </c>
    </row>
    <row r="108" spans="1:6" x14ac:dyDescent="0.35">
      <c r="A108" s="1">
        <f>COUNTA(A$12:A107)-1</f>
        <v>95</v>
      </c>
      <c r="B108" s="3">
        <f t="shared" si="9"/>
        <v>-163.5</v>
      </c>
      <c r="C108" s="4">
        <f t="shared" si="7"/>
        <v>-20.930663477989032</v>
      </c>
      <c r="D108" s="4">
        <f t="shared" si="8"/>
        <v>2.0023119882957019E-3</v>
      </c>
      <c r="E108" s="5">
        <f t="shared" si="10"/>
        <v>-20.93</v>
      </c>
      <c r="F108" t="str">
        <f t="shared" si="11"/>
        <v>&lt;Placemark&gt;&lt;name&gt;-20.93,-163.5&lt;/name&gt;&lt;Point&gt;&lt;coordinates&gt;-163.5,-20.93,0&lt;/coordinates&gt;&lt;/Point&gt;&lt;/Placemark&gt;</v>
      </c>
    </row>
    <row r="109" spans="1:6" x14ac:dyDescent="0.35">
      <c r="A109" s="1">
        <f>COUNTA(A$12:A108)-1</f>
        <v>96</v>
      </c>
      <c r="B109" s="3">
        <f t="shared" si="9"/>
        <v>-163.75</v>
      </c>
      <c r="C109" s="4">
        <f t="shared" si="7"/>
        <v>-20.928297130374688</v>
      </c>
      <c r="D109" s="4">
        <f t="shared" si="8"/>
        <v>2.3663476143447326E-3</v>
      </c>
      <c r="E109" s="5">
        <f t="shared" si="10"/>
        <v>-20.93</v>
      </c>
      <c r="F109" t="str">
        <f t="shared" si="11"/>
        <v>&lt;Placemark&gt;&lt;name&gt;-20.93,-163.75&lt;/name&gt;&lt;Point&gt;&lt;coordinates&gt;-163.75,-20.93,0&lt;/coordinates&gt;&lt;/Point&gt;&lt;/Placemark&gt;</v>
      </c>
    </row>
    <row r="110" spans="1:6" x14ac:dyDescent="0.35">
      <c r="A110" s="1">
        <f>COUNTA(A$12:A109)-1</f>
        <v>97</v>
      </c>
      <c r="B110" s="3">
        <f t="shared" si="9"/>
        <v>-164</v>
      </c>
      <c r="C110" s="4">
        <f t="shared" si="7"/>
        <v>-20.925566757697968</v>
      </c>
      <c r="D110" s="4">
        <f t="shared" si="8"/>
        <v>2.7303726767193837E-3</v>
      </c>
      <c r="E110" s="5">
        <f t="shared" si="10"/>
        <v>-20.93</v>
      </c>
      <c r="F110" t="str">
        <f t="shared" si="11"/>
        <v>&lt;Placemark&gt;&lt;name&gt;-20.93,-164&lt;/name&gt;&lt;Point&gt;&lt;coordinates&gt;-164,-20.93,0&lt;/coordinates&gt;&lt;/Point&gt;&lt;/Placemark&gt;</v>
      </c>
    </row>
    <row r="111" spans="1:6" x14ac:dyDescent="0.35">
      <c r="A111" s="1">
        <f>COUNTA(A$12:A110)-1</f>
        <v>98</v>
      </c>
      <c r="B111" s="3">
        <f t="shared" si="9"/>
        <v>-164.25</v>
      </c>
      <c r="C111" s="4">
        <f t="shared" si="7"/>
        <v>-20.922472372158587</v>
      </c>
      <c r="D111" s="4">
        <f t="shared" si="8"/>
        <v>3.0943855393807951E-3</v>
      </c>
      <c r="E111" s="5">
        <f t="shared" si="10"/>
        <v>-20.92</v>
      </c>
      <c r="F111" t="str">
        <f t="shared" si="11"/>
        <v>&lt;Placemark&gt;&lt;name&gt;-20.92,-164.25&lt;/name&gt;&lt;Point&gt;&lt;coordinates&gt;-164.25,-20.92,0&lt;/coordinates&gt;&lt;/Point&gt;&lt;/Placemark&gt;</v>
      </c>
    </row>
    <row r="112" spans="1:6" x14ac:dyDescent="0.35">
      <c r="A112" s="1">
        <f>COUNTA(A$12:A111)-1</f>
        <v>99</v>
      </c>
      <c r="B112" s="3">
        <f t="shared" si="9"/>
        <v>-164.5</v>
      </c>
      <c r="C112" s="4">
        <f t="shared" si="7"/>
        <v>-20.919013987596955</v>
      </c>
      <c r="D112" s="4">
        <f t="shared" si="8"/>
        <v>3.4583845616324993E-3</v>
      </c>
      <c r="E112" s="5">
        <f t="shared" si="10"/>
        <v>-20.92</v>
      </c>
      <c r="F112" t="str">
        <f t="shared" si="11"/>
        <v>&lt;Placemark&gt;&lt;name&gt;-20.92,-164.5&lt;/name&gt;&lt;Point&gt;&lt;coordinates&gt;-164.5,-20.92,0&lt;/coordinates&gt;&lt;/Point&gt;&lt;/Placemark&gt;</v>
      </c>
    </row>
    <row r="113" spans="1:6" x14ac:dyDescent="0.35">
      <c r="A113" s="1">
        <f>COUNTA(A$12:A112)-1</f>
        <v>100</v>
      </c>
      <c r="B113" s="3">
        <f t="shared" si="9"/>
        <v>-164.75</v>
      </c>
      <c r="C113" s="4">
        <f t="shared" si="7"/>
        <v>-20.915191619499467</v>
      </c>
      <c r="D113" s="4">
        <f t="shared" si="8"/>
        <v>3.8223680974880381E-3</v>
      </c>
      <c r="E113" s="5">
        <f t="shared" si="10"/>
        <v>-20.92</v>
      </c>
      <c r="F113" t="str">
        <f t="shared" si="11"/>
        <v>&lt;Placemark&gt;&lt;name&gt;-20.92,-164.75&lt;/name&gt;&lt;Point&gt;&lt;coordinates&gt;-164.75,-20.92,0&lt;/coordinates&gt;&lt;/Point&gt;&lt;/Placemark&gt;</v>
      </c>
    </row>
    <row r="114" spans="1:6" x14ac:dyDescent="0.35">
      <c r="A114" s="1">
        <f>COUNTA(A$12:A113)-1</f>
        <v>101</v>
      </c>
      <c r="B114" s="3">
        <f t="shared" si="9"/>
        <v>-165</v>
      </c>
      <c r="C114" s="4">
        <f t="shared" si="7"/>
        <v>-20.911005285004364</v>
      </c>
      <c r="D114" s="4">
        <f t="shared" si="8"/>
        <v>4.1863344951025283E-3</v>
      </c>
      <c r="E114" s="5">
        <f t="shared" si="10"/>
        <v>-20.91</v>
      </c>
      <c r="F114" t="str">
        <f t="shared" si="11"/>
        <v>&lt;Placemark&gt;&lt;name&gt;-20.91,-165&lt;/name&gt;&lt;Point&gt;&lt;coordinates&gt;-165,-20.91,0&lt;/coordinates&gt;&lt;/Point&gt;&lt;/Placemark&gt;</v>
      </c>
    </row>
    <row r="115" spans="1:6" x14ac:dyDescent="0.35">
      <c r="A115" s="1">
        <f>COUNTA(A$12:A114)-1</f>
        <v>102</v>
      </c>
      <c r="B115" s="3">
        <f t="shared" si="9"/>
        <v>-165.25</v>
      </c>
      <c r="C115" s="4">
        <f t="shared" si="7"/>
        <v>-20.906455002908285</v>
      </c>
      <c r="D115" s="4">
        <f t="shared" si="8"/>
        <v>4.5502820960798829E-3</v>
      </c>
      <c r="E115" s="5">
        <f t="shared" si="10"/>
        <v>-20.91</v>
      </c>
      <c r="F115" t="str">
        <f t="shared" si="11"/>
        <v>&lt;Placemark&gt;&lt;name&gt;-20.91,-165.25&lt;/name&gt;&lt;Point&gt;&lt;coordinates&gt;-165.25,-20.91,0&lt;/coordinates&gt;&lt;/Point&gt;&lt;/Placemark&gt;</v>
      </c>
    </row>
    <row r="116" spans="1:6" x14ac:dyDescent="0.35">
      <c r="A116" s="1">
        <f>COUNTA(A$12:A115)-1</f>
        <v>103</v>
      </c>
      <c r="B116" s="3">
        <f t="shared" si="9"/>
        <v>-165.5</v>
      </c>
      <c r="C116" s="4">
        <f t="shared" si="7"/>
        <v>-20.90154079367338</v>
      </c>
      <c r="D116" s="4">
        <f t="shared" si="8"/>
        <v>4.9142092349043764E-3</v>
      </c>
      <c r="E116" s="5">
        <f t="shared" si="10"/>
        <v>-20.9</v>
      </c>
      <c r="F116" t="str">
        <f t="shared" si="11"/>
        <v>&lt;Placemark&gt;&lt;name&gt;-20.9,-165.5&lt;/name&gt;&lt;Point&gt;&lt;coordinates&gt;-165.5,-20.9,0&lt;/coordinates&gt;&lt;/Point&gt;&lt;/Placemark&gt;</v>
      </c>
    </row>
    <row r="117" spans="1:6" x14ac:dyDescent="0.35">
      <c r="A117" s="1">
        <f>COUNTA(A$12:A116)-1</f>
        <v>104</v>
      </c>
      <c r="B117" s="3">
        <f t="shared" si="9"/>
        <v>-165.75</v>
      </c>
      <c r="C117" s="4">
        <f t="shared" si="7"/>
        <v>-20.896262679435061</v>
      </c>
      <c r="D117" s="4">
        <f t="shared" si="8"/>
        <v>5.2781142383189206E-3</v>
      </c>
      <c r="E117" s="5">
        <f t="shared" si="10"/>
        <v>-20.9</v>
      </c>
      <c r="F117" t="str">
        <f t="shared" si="11"/>
        <v>&lt;Placemark&gt;&lt;name&gt;-20.9,-165.75&lt;/name&gt;&lt;Point&gt;&lt;coordinates&gt;-165.75,-20.9,0&lt;/coordinates&gt;&lt;/Point&gt;&lt;/Placemark&gt;</v>
      </c>
    </row>
    <row r="118" spans="1:6" x14ac:dyDescent="0.35">
      <c r="A118" s="1">
        <f>COUNTA(A$12:A117)-1</f>
        <v>105</v>
      </c>
      <c r="B118" s="3">
        <f t="shared" si="9"/>
        <v>-166</v>
      </c>
      <c r="C118" s="4">
        <f t="shared" si="7"/>
        <v>-20.890620684010372</v>
      </c>
      <c r="D118" s="4">
        <f t="shared" si="8"/>
        <v>5.641995424689128E-3</v>
      </c>
      <c r="E118" s="5">
        <f t="shared" si="10"/>
        <v>-20.89</v>
      </c>
      <c r="F118" t="str">
        <f t="shared" si="11"/>
        <v>&lt;Placemark&gt;&lt;name&gt;-20.89,-166&lt;/name&gt;&lt;Point&gt;&lt;coordinates&gt;-166,-20.89,0&lt;/coordinates&gt;&lt;/Point&gt;&lt;/Placemark&gt;</v>
      </c>
    </row>
    <row r="119" spans="1:6" x14ac:dyDescent="0.35">
      <c r="A119" s="1">
        <f>COUNTA(A$12:A118)-1</f>
        <v>106</v>
      </c>
      <c r="B119" s="3">
        <f t="shared" si="9"/>
        <v>-166.25</v>
      </c>
      <c r="C119" s="4">
        <f t="shared" si="7"/>
        <v>-20.884614832906998</v>
      </c>
      <c r="D119" s="4">
        <f t="shared" si="8"/>
        <v>6.0058511033744821E-3</v>
      </c>
      <c r="E119" s="5">
        <f t="shared" si="10"/>
        <v>-20.88</v>
      </c>
      <c r="F119" t="str">
        <f t="shared" si="11"/>
        <v>&lt;Placemark&gt;&lt;name&gt;-20.88,-166.25&lt;/name&gt;&lt;Point&gt;&lt;coordinates&gt;-166.25,-20.88,0&lt;/coordinates&gt;&lt;/Point&gt;&lt;/Placemark&gt;</v>
      </c>
    </row>
    <row r="120" spans="1:6" x14ac:dyDescent="0.35">
      <c r="A120" s="1">
        <f>COUNTA(A$12:A119)-1</f>
        <v>107</v>
      </c>
      <c r="B120" s="3">
        <f t="shared" si="9"/>
        <v>-166.5</v>
      </c>
      <c r="C120" s="4">
        <f t="shared" si="7"/>
        <v>-20.878245153332845</v>
      </c>
      <c r="D120" s="4">
        <f t="shared" si="8"/>
        <v>6.3696795741527978E-3</v>
      </c>
      <c r="E120" s="5">
        <f t="shared" si="10"/>
        <v>-20.88</v>
      </c>
      <c r="F120" t="str">
        <f t="shared" si="11"/>
        <v>&lt;Placemark&gt;&lt;name&gt;-20.88,-166.5&lt;/name&gt;&lt;Point&gt;&lt;coordinates&gt;-166.5,-20.88,0&lt;/coordinates&gt;&lt;/Point&gt;&lt;/Placemark&gt;</v>
      </c>
    </row>
    <row r="121" spans="1:6" x14ac:dyDescent="0.35">
      <c r="A121" s="1">
        <f>COUNTA(A$12:A120)-1</f>
        <v>108</v>
      </c>
      <c r="B121" s="3">
        <f t="shared" si="9"/>
        <v>-166.75</v>
      </c>
      <c r="C121" s="4">
        <f t="shared" si="7"/>
        <v>-20.871511674206275</v>
      </c>
      <c r="D121" s="4">
        <f t="shared" si="8"/>
        <v>6.7334791265700744E-3</v>
      </c>
      <c r="E121" s="5">
        <f t="shared" si="10"/>
        <v>-20.87</v>
      </c>
      <c r="F121" t="str">
        <f t="shared" si="11"/>
        <v>&lt;Placemark&gt;&lt;name&gt;-20.87,-166.75&lt;/name&gt;&lt;Point&gt;&lt;coordinates&gt;-166.75,-20.87,0&lt;/coordinates&gt;&lt;/Point&gt;&lt;/Placemark&gt;</v>
      </c>
    </row>
    <row r="122" spans="1:6" x14ac:dyDescent="0.35">
      <c r="A122" s="1">
        <f>COUNTA(A$12:A121)-1</f>
        <v>109</v>
      </c>
      <c r="B122" s="3">
        <f t="shared" si="9"/>
        <v>-167</v>
      </c>
      <c r="C122" s="4">
        <f t="shared" si="7"/>
        <v>-20.864414426166952</v>
      </c>
      <c r="D122" s="4">
        <f t="shared" si="8"/>
        <v>7.0972480393223236E-3</v>
      </c>
      <c r="E122" s="5">
        <f t="shared" si="10"/>
        <v>-20.86</v>
      </c>
      <c r="F122" t="str">
        <f t="shared" si="11"/>
        <v>&lt;Placemark&gt;&lt;name&gt;-20.86,-167&lt;/name&gt;&lt;Point&gt;&lt;coordinates&gt;-167,-20.86,0&lt;/coordinates&gt;&lt;/Point&gt;&lt;/Placemark&gt;</v>
      </c>
    </row>
    <row r="123" spans="1:6" x14ac:dyDescent="0.35">
      <c r="A123" s="1">
        <f>COUNTA(A$12:A122)-1</f>
        <v>110</v>
      </c>
      <c r="B123" s="3">
        <f t="shared" si="9"/>
        <v>-167.25</v>
      </c>
      <c r="C123" s="4">
        <f t="shared" si="7"/>
        <v>-20.856953441587297</v>
      </c>
      <c r="D123" s="4">
        <f t="shared" si="8"/>
        <v>7.460984579655161E-3</v>
      </c>
      <c r="E123" s="5">
        <f t="shared" si="10"/>
        <v>-20.86</v>
      </c>
      <c r="F123" t="str">
        <f t="shared" si="11"/>
        <v>&lt;Placemark&gt;&lt;name&gt;-20.86,-167.25&lt;/name&gt;&lt;Point&gt;&lt;coordinates&gt;-167.25,-20.86,0&lt;/coordinates&gt;&lt;/Point&gt;&lt;/Placemark&gt;</v>
      </c>
    </row>
    <row r="124" spans="1:6" x14ac:dyDescent="0.35">
      <c r="A124" s="1">
        <f>COUNTA(A$12:A123)-1</f>
        <v>111</v>
      </c>
      <c r="B124" s="3">
        <f t="shared" si="9"/>
        <v>-167.5</v>
      </c>
      <c r="C124" s="4">
        <f t="shared" si="7"/>
        <v>-20.849128754584541</v>
      </c>
      <c r="D124" s="4">
        <f t="shared" si="8"/>
        <v>7.824687002756292E-3</v>
      </c>
      <c r="E124" s="5">
        <f t="shared" si="10"/>
        <v>-20.85</v>
      </c>
      <c r="F124" t="str">
        <f t="shared" si="11"/>
        <v>&lt;Placemark&gt;&lt;name&gt;-20.85,-167.5&lt;/name&gt;&lt;Point&gt;&lt;coordinates&gt;-167.5,-20.85,0&lt;/coordinates&gt;&lt;/Point&gt;&lt;/Placemark&gt;</v>
      </c>
    </row>
    <row r="125" spans="1:6" x14ac:dyDescent="0.35">
      <c r="A125" s="1">
        <f>COUNTA(A$12:A124)-1</f>
        <v>112</v>
      </c>
      <c r="B125" s="3">
        <f t="shared" si="9"/>
        <v>-167.75</v>
      </c>
      <c r="C125" s="4">
        <f t="shared" si="7"/>
        <v>-20.840940401033457</v>
      </c>
      <c r="D125" s="4">
        <f t="shared" si="8"/>
        <v>8.1883535510840488E-3</v>
      </c>
      <c r="E125" s="5">
        <f t="shared" si="10"/>
        <v>-20.84</v>
      </c>
      <c r="F125" t="str">
        <f t="shared" si="11"/>
        <v>&lt;Placemark&gt;&lt;name&gt;-20.84,-167.75&lt;/name&gt;&lt;Point&gt;&lt;coordinates&gt;-167.75,-20.84,0&lt;/coordinates&gt;&lt;/Point&gt;&lt;/Placemark&gt;</v>
      </c>
    </row>
    <row r="126" spans="1:6" x14ac:dyDescent="0.35">
      <c r="A126" s="1">
        <f>COUNTA(A$12:A125)-1</f>
        <v>113</v>
      </c>
      <c r="B126" s="3">
        <f t="shared" si="9"/>
        <v>-168</v>
      </c>
      <c r="C126" s="4">
        <f t="shared" si="7"/>
        <v>-20.832388418579622</v>
      </c>
      <c r="D126" s="4">
        <f t="shared" si="8"/>
        <v>8.5519824538344835E-3</v>
      </c>
      <c r="E126" s="5">
        <f t="shared" si="10"/>
        <v>-20.83</v>
      </c>
      <c r="F126" t="str">
        <f t="shared" si="11"/>
        <v>&lt;Placemark&gt;&lt;name&gt;-20.83,-168&lt;/name&gt;&lt;Point&gt;&lt;coordinates&gt;-168,-20.83,0&lt;/coordinates&gt;&lt;/Point&gt;&lt;/Placemark&gt;</v>
      </c>
    </row>
    <row r="127" spans="1:6" x14ac:dyDescent="0.35">
      <c r="A127" s="1">
        <f>COUNTA(A$12:A126)-1</f>
        <v>114</v>
      </c>
      <c r="B127" s="3">
        <f t="shared" si="9"/>
        <v>-168.25</v>
      </c>
      <c r="C127" s="4">
        <f t="shared" si="7"/>
        <v>-20.823472846653345</v>
      </c>
      <c r="D127" s="4">
        <f t="shared" si="8"/>
        <v>8.9155719262770106E-3</v>
      </c>
      <c r="E127" s="5">
        <f t="shared" si="10"/>
        <v>-20.82</v>
      </c>
      <c r="F127" t="str">
        <f t="shared" si="11"/>
        <v>&lt;Placemark&gt;&lt;name&gt;-20.82,-168.25&lt;/name&gt;&lt;Point&gt;&lt;coordinates&gt;-168.25,-20.82,0&lt;/coordinates&gt;&lt;/Point&gt;&lt;/Placemark&gt;</v>
      </c>
    </row>
    <row r="128" spans="1:6" x14ac:dyDescent="0.35">
      <c r="A128" s="1">
        <f>COUNTA(A$12:A127)-1</f>
        <v>115</v>
      </c>
      <c r="B128" s="3">
        <f t="shared" si="9"/>
        <v>-168.5</v>
      </c>
      <c r="C128" s="4">
        <f t="shared" si="7"/>
        <v>-20.814193726484216</v>
      </c>
      <c r="D128" s="4">
        <f t="shared" si="8"/>
        <v>9.2791201691291292E-3</v>
      </c>
      <c r="E128" s="5">
        <f t="shared" si="10"/>
        <v>-20.81</v>
      </c>
      <c r="F128" t="str">
        <f t="shared" si="11"/>
        <v>&lt;Placemark&gt;&lt;name&gt;-20.81,-168.5&lt;/name&gt;&lt;Point&gt;&lt;coordinates&gt;-168.5,-20.81,0&lt;/coordinates&gt;&lt;/Point&gt;&lt;/Placemark&gt;</v>
      </c>
    </row>
    <row r="129" spans="1:6" x14ac:dyDescent="0.35">
      <c r="A129" s="1">
        <f>COUNTA(A$12:A128)-1</f>
        <v>116</v>
      </c>
      <c r="B129" s="3">
        <f t="shared" si="9"/>
        <v>-168.75</v>
      </c>
      <c r="C129" s="4">
        <f t="shared" si="7"/>
        <v>-20.804551101116228</v>
      </c>
      <c r="D129" s="4">
        <f t="shared" si="8"/>
        <v>9.6426253679879892E-3</v>
      </c>
      <c r="E129" s="5">
        <f t="shared" si="10"/>
        <v>-20.8</v>
      </c>
      <c r="F129" t="str">
        <f t="shared" si="11"/>
        <v>&lt;Placemark&gt;&lt;name&gt;-20.8,-168.75&lt;/name&gt;&lt;Point&gt;&lt;coordinates&gt;-168.75,-20.8,0&lt;/coordinates&gt;&lt;/Point&gt;&lt;/Placemark&gt;</v>
      </c>
    </row>
    <row r="130" spans="1:6" x14ac:dyDescent="0.35">
      <c r="A130" s="1">
        <f>COUNTA(A$12:A129)-1</f>
        <v>117</v>
      </c>
      <c r="B130" s="3">
        <f t="shared" si="9"/>
        <v>-169</v>
      </c>
      <c r="C130" s="4">
        <f t="shared" si="7"/>
        <v>-20.794545015423544</v>
      </c>
      <c r="D130" s="4">
        <f t="shared" si="8"/>
        <v>1.0006085692683797E-2</v>
      </c>
      <c r="E130" s="5">
        <f t="shared" si="10"/>
        <v>-20.79</v>
      </c>
      <c r="F130" t="str">
        <f t="shared" si="11"/>
        <v>&lt;Placemark&gt;&lt;name&gt;-20.79,-169&lt;/name&gt;&lt;Point&gt;&lt;coordinates&gt;-169,-20.79,0&lt;/coordinates&gt;&lt;/Point&gt;&lt;/Placemark&gt;</v>
      </c>
    </row>
    <row r="131" spans="1:6" x14ac:dyDescent="0.35">
      <c r="A131" s="1">
        <f>COUNTA(A$12:A130)-1</f>
        <v>118</v>
      </c>
      <c r="B131" s="3">
        <f t="shared" si="9"/>
        <v>-169.25</v>
      </c>
      <c r="C131" s="4">
        <f t="shared" si="7"/>
        <v>-20.784175516126851</v>
      </c>
      <c r="D131" s="4">
        <f t="shared" si="8"/>
        <v>1.0369499296693618E-2</v>
      </c>
      <c r="E131" s="5">
        <f t="shared" si="10"/>
        <v>-20.78</v>
      </c>
      <c r="F131" t="str">
        <f t="shared" si="11"/>
        <v>&lt;Placemark&gt;&lt;name&gt;-20.78,-169.25&lt;/name&gt;&lt;Point&gt;&lt;coordinates&gt;-169.25,-20.78,0&lt;/coordinates&gt;&lt;/Point&gt;&lt;/Placemark&gt;</v>
      </c>
    </row>
    <row r="132" spans="1:6" x14ac:dyDescent="0.35">
      <c r="A132" s="1">
        <f>COUNTA(A$12:A131)-1</f>
        <v>119</v>
      </c>
      <c r="B132" s="3">
        <f t="shared" si="9"/>
        <v>-169.5</v>
      </c>
      <c r="C132" s="4">
        <f t="shared" si="7"/>
        <v>-20.773442651810374</v>
      </c>
      <c r="D132" s="4">
        <f t="shared" si="8"/>
        <v>1.073286431647702E-2</v>
      </c>
      <c r="E132" s="5">
        <f t="shared" si="10"/>
        <v>-20.77</v>
      </c>
      <c r="F132" t="str">
        <f t="shared" si="11"/>
        <v>&lt;Placemark&gt;&lt;name&gt;-20.77,-169.5&lt;/name&gt;&lt;Point&gt;&lt;coordinates&gt;-169.5,-20.77,0&lt;/coordinates&gt;&lt;/Point&gt;&lt;/Placemark&gt;</v>
      </c>
    </row>
    <row r="133" spans="1:6" x14ac:dyDescent="0.35">
      <c r="A133" s="1">
        <f>COUNTA(A$12:A132)-1</f>
        <v>120</v>
      </c>
      <c r="B133" s="3">
        <f t="shared" si="9"/>
        <v>-169.75</v>
      </c>
      <c r="C133" s="4">
        <f t="shared" si="7"/>
        <v>-20.762346472939406</v>
      </c>
      <c r="D133" s="4">
        <f t="shared" si="8"/>
        <v>1.1096178870968032E-2</v>
      </c>
      <c r="E133" s="5">
        <f t="shared" si="10"/>
        <v>-20.76</v>
      </c>
      <c r="F133" t="str">
        <f t="shared" si="11"/>
        <v>&lt;Placemark&gt;&lt;name&gt;-20.76,-169.75&lt;/name&gt;&lt;Point&gt;&lt;coordinates&gt;-169.75,-20.76,0&lt;/coordinates&gt;&lt;/Point&gt;&lt;/Placemark&gt;</v>
      </c>
    </row>
    <row r="134" spans="1:6" x14ac:dyDescent="0.35">
      <c r="A134" s="1">
        <f>COUNTA(A$12:A133)-1</f>
        <v>121</v>
      </c>
      <c r="B134" s="3">
        <f t="shared" si="9"/>
        <v>-170</v>
      </c>
      <c r="C134" s="4">
        <f t="shared" si="7"/>
        <v>-20.750887031878541</v>
      </c>
      <c r="D134" s="4">
        <f t="shared" si="8"/>
        <v>1.1459441060864606E-2</v>
      </c>
      <c r="E134" s="5">
        <f t="shared" si="10"/>
        <v>-20.75</v>
      </c>
      <c r="F134" t="str">
        <f t="shared" si="11"/>
        <v>&lt;Placemark&gt;&lt;name&gt;-20.75,-170&lt;/name&gt;&lt;Point&gt;&lt;coordinates&gt;-170,-20.75,0&lt;/coordinates&gt;&lt;/Point&gt;&lt;/Placemark&gt;</v>
      </c>
    </row>
    <row r="135" spans="1:6" x14ac:dyDescent="0.35">
      <c r="A135" s="1">
        <f>COUNTA(A$12:A134)-1</f>
        <v>122</v>
      </c>
      <c r="B135" s="3">
        <f t="shared" si="9"/>
        <v>-170.25</v>
      </c>
      <c r="C135" s="4">
        <f t="shared" si="7"/>
        <v>-20.739064382910492</v>
      </c>
      <c r="D135" s="4">
        <f t="shared" si="8"/>
        <v>1.1822648968049521E-2</v>
      </c>
      <c r="E135" s="5">
        <f t="shared" si="10"/>
        <v>-20.74</v>
      </c>
      <c r="F135" t="str">
        <f t="shared" si="11"/>
        <v>&lt;Placemark&gt;&lt;name&gt;-20.74,-170.25&lt;/name&gt;&lt;Point&gt;&lt;coordinates&gt;-170.25,-20.74,0&lt;/coordinates&gt;&lt;/Point&gt;&lt;/Placemark&gt;</v>
      </c>
    </row>
    <row r="136" spans="1:6" x14ac:dyDescent="0.35">
      <c r="A136" s="1">
        <f>COUNTA(A$12:A135)-1</f>
        <v>123</v>
      </c>
      <c r="B136" s="3">
        <f t="shared" si="9"/>
        <v>-170.5</v>
      </c>
      <c r="C136" s="4">
        <f t="shared" si="7"/>
        <v>-20.726878582255459</v>
      </c>
      <c r="D136" s="4">
        <f t="shared" si="8"/>
        <v>1.2185800655032608E-2</v>
      </c>
      <c r="E136" s="5">
        <f t="shared" si="10"/>
        <v>-20.73</v>
      </c>
      <c r="F136" t="str">
        <f t="shared" si="11"/>
        <v>&lt;Placemark&gt;&lt;name&gt;-20.73,-170.5&lt;/name&gt;&lt;Point&gt;&lt;coordinates&gt;-170.5,-20.73,0&lt;/coordinates&gt;&lt;/Point&gt;&lt;/Placemark&gt;</v>
      </c>
    </row>
    <row r="137" spans="1:6" x14ac:dyDescent="0.35">
      <c r="A137" s="1">
        <f>COUNTA(A$12:A136)-1</f>
        <v>124</v>
      </c>
      <c r="B137" s="3">
        <f t="shared" si="9"/>
        <v>-170.75</v>
      </c>
      <c r="C137" s="4">
        <f t="shared" si="7"/>
        <v>-20.714329688091187</v>
      </c>
      <c r="D137" s="4">
        <f t="shared" si="8"/>
        <v>1.2548894164272184E-2</v>
      </c>
      <c r="E137" s="5">
        <f t="shared" si="10"/>
        <v>-20.71</v>
      </c>
      <c r="F137" t="str">
        <f t="shared" si="11"/>
        <v>&lt;Placemark&gt;&lt;name&gt;-20.71,-170.75&lt;/name&gt;&lt;Point&gt;&lt;coordinates&gt;-170.75,-20.71,0&lt;/coordinates&gt;&lt;/Point&gt;&lt;/Placemark&gt;</v>
      </c>
    </row>
    <row r="138" spans="1:6" x14ac:dyDescent="0.35">
      <c r="A138" s="1">
        <f>COUNTA(A$12:A137)-1</f>
        <v>125</v>
      </c>
      <c r="B138" s="3">
        <f t="shared" si="9"/>
        <v>-171</v>
      </c>
      <c r="C138" s="4">
        <f t="shared" si="7"/>
        <v>-20.701417760573559</v>
      </c>
      <c r="D138" s="4">
        <f t="shared" si="8"/>
        <v>1.291192751762793E-2</v>
      </c>
      <c r="E138" s="5">
        <f t="shared" si="10"/>
        <v>-20.7</v>
      </c>
      <c r="F138" t="str">
        <f t="shared" si="11"/>
        <v>&lt;Placemark&gt;&lt;name&gt;-20.7,-171&lt;/name&gt;&lt;Point&gt;&lt;coordinates&gt;-171,-20.7,0&lt;/coordinates&gt;&lt;/Point&gt;&lt;/Placemark&gt;</v>
      </c>
    </row>
    <row r="139" spans="1:6" x14ac:dyDescent="0.35">
      <c r="A139" s="1">
        <f>COUNTA(A$12:A138)-1</f>
        <v>126</v>
      </c>
      <c r="B139" s="3">
        <f t="shared" si="9"/>
        <v>-171.25</v>
      </c>
      <c r="C139" s="4">
        <f t="shared" si="7"/>
        <v>-20.688142861857834</v>
      </c>
      <c r="D139" s="4">
        <f t="shared" si="8"/>
        <v>1.3274898715724959E-2</v>
      </c>
      <c r="E139" s="5">
        <f t="shared" si="10"/>
        <v>-20.69</v>
      </c>
      <c r="F139" t="str">
        <f t="shared" si="11"/>
        <v>&lt;Placemark&gt;&lt;name&gt;-20.69,-171.25&lt;/name&gt;&lt;Point&gt;&lt;coordinates&gt;-171.25,-20.69,0&lt;/coordinates&gt;&lt;/Point&gt;&lt;/Placemark&gt;</v>
      </c>
    </row>
    <row r="140" spans="1:6" x14ac:dyDescent="0.35">
      <c r="A140" s="1">
        <f>COUNTA(A$12:A139)-1</f>
        <v>127</v>
      </c>
      <c r="B140" s="3">
        <f t="shared" si="9"/>
        <v>-171.5</v>
      </c>
      <c r="C140" s="4">
        <f t="shared" si="7"/>
        <v>-20.674505056120491</v>
      </c>
      <c r="D140" s="4">
        <f t="shared" si="8"/>
        <v>1.3637805737342745E-2</v>
      </c>
      <c r="E140" s="5">
        <f t="shared" si="10"/>
        <v>-20.67</v>
      </c>
      <c r="F140" t="str">
        <f t="shared" si="11"/>
        <v>&lt;Placemark&gt;&lt;name&gt;-20.67,-171.5&lt;/name&gt;&lt;Point&gt;&lt;coordinates&gt;-171.5,-20.67,0&lt;/coordinates&gt;&lt;/Point&gt;&lt;/Placemark&gt;</v>
      </c>
    </row>
    <row r="141" spans="1:6" x14ac:dyDescent="0.35">
      <c r="A141" s="1">
        <f>COUNTA(A$12:A140)-1</f>
        <v>128</v>
      </c>
      <c r="B141" s="3">
        <f t="shared" si="9"/>
        <v>-171.75</v>
      </c>
      <c r="C141" s="4">
        <f t="shared" ref="C141:C174" si="12">DEGREES(ATAN($B$7 * SIN(RADIANS(B141)) + $B$8 * COS(RADIANS(B141))))</f>
        <v>-20.660504409581623</v>
      </c>
      <c r="D141" s="4">
        <f t="shared" ref="D141:D174" si="13">IF(C140="Lat","",C141-C140)</f>
        <v>1.4000646538868011E-2</v>
      </c>
      <c r="E141" s="5">
        <f t="shared" si="10"/>
        <v>-20.66</v>
      </c>
      <c r="F141" t="str">
        <f t="shared" si="11"/>
        <v>&lt;Placemark&gt;&lt;name&gt;-20.66,-171.75&lt;/name&gt;&lt;Point&gt;&lt;coordinates&gt;-171.75,-20.66,0&lt;/coordinates&gt;&lt;/Point&gt;&lt;/Placemark&gt;</v>
      </c>
    </row>
    <row r="142" spans="1:6" x14ac:dyDescent="0.35">
      <c r="A142" s="1">
        <f>COUNTA(A$12:A141)-1</f>
        <v>129</v>
      </c>
      <c r="B142" s="3">
        <f t="shared" si="9"/>
        <v>-172</v>
      </c>
      <c r="C142" s="4">
        <f t="shared" si="12"/>
        <v>-20.646140990528004</v>
      </c>
      <c r="D142" s="4">
        <f t="shared" si="13"/>
        <v>1.4363419053619708E-2</v>
      </c>
      <c r="E142" s="5">
        <f t="shared" si="10"/>
        <v>-20.65</v>
      </c>
      <c r="F142" t="str">
        <f t="shared" si="11"/>
        <v>&lt;Placemark&gt;&lt;name&gt;-20.65,-172&lt;/name&gt;&lt;Point&gt;&lt;coordinates&gt;-172,-20.65,0&lt;/coordinates&gt;&lt;/Point&gt;&lt;/Placemark&gt;</v>
      </c>
    </row>
    <row r="143" spans="1:6" x14ac:dyDescent="0.35">
      <c r="A143" s="1">
        <f>COUNTA(A$12:A142)-1</f>
        <v>130</v>
      </c>
      <c r="B143" s="3">
        <f t="shared" ref="B143:B174" si="14">B142-0.25</f>
        <v>-172.25</v>
      </c>
      <c r="C143" s="4">
        <f t="shared" si="12"/>
        <v>-20.631414869336712</v>
      </c>
      <c r="D143" s="4">
        <f t="shared" si="13"/>
        <v>1.4726121191291242E-2</v>
      </c>
      <c r="E143" s="5">
        <f t="shared" ref="E143:E174" si="15">ROUND(C143,2)</f>
        <v>-20.63</v>
      </c>
      <c r="F143" t="str">
        <f t="shared" ref="F143:F174" si="16">"&lt;Placemark&gt;&lt;name&gt;"&amp;E143&amp;","&amp;B143&amp;"&lt;/name&gt;&lt;Point&gt;&lt;coordinates&gt;"&amp;B143&amp;","&amp;E143&amp;",0&lt;/coordinates&gt;&lt;/Point&gt;&lt;/Placemark&gt;"</f>
        <v>&lt;Placemark&gt;&lt;name&gt;-20.63,-172.25&lt;/name&gt;&lt;Point&gt;&lt;coordinates&gt;-172.25,-20.63,0&lt;/coordinates&gt;&lt;/Point&gt;&lt;/Placemark&gt;</v>
      </c>
    </row>
    <row r="144" spans="1:6" x14ac:dyDescent="0.35">
      <c r="A144" s="1">
        <f>COUNTA(A$12:A143)-1</f>
        <v>131</v>
      </c>
      <c r="B144" s="3">
        <f t="shared" si="14"/>
        <v>-172.5</v>
      </c>
      <c r="C144" s="4">
        <f t="shared" si="12"/>
        <v>-20.616326118499337</v>
      </c>
      <c r="D144" s="4">
        <f t="shared" si="13"/>
        <v>1.5088750837374931E-2</v>
      </c>
      <c r="E144" s="5">
        <f t="shared" si="15"/>
        <v>-20.62</v>
      </c>
      <c r="F144" t="str">
        <f t="shared" si="16"/>
        <v>&lt;Placemark&gt;&lt;name&gt;-20.62,-172.5&lt;/name&gt;&lt;Point&gt;&lt;coordinates&gt;-172.5,-20.62,0&lt;/coordinates&gt;&lt;/Point&gt;&lt;/Placemark&gt;</v>
      </c>
    </row>
    <row r="145" spans="1:6" x14ac:dyDescent="0.35">
      <c r="A145" s="1">
        <f>COUNTA(A$12:A144)-1</f>
        <v>132</v>
      </c>
      <c r="B145" s="3">
        <f t="shared" si="14"/>
        <v>-172.75</v>
      </c>
      <c r="C145" s="4">
        <f t="shared" si="12"/>
        <v>-20.600874812646843</v>
      </c>
      <c r="D145" s="4">
        <f t="shared" si="13"/>
        <v>1.5451305852494102E-2</v>
      </c>
      <c r="E145" s="5">
        <f t="shared" si="15"/>
        <v>-20.6</v>
      </c>
      <c r="F145" t="str">
        <f t="shared" si="16"/>
        <v>&lt;Placemark&gt;&lt;name&gt;-20.6,-172.75&lt;/name&gt;&lt;Point&gt;&lt;coordinates&gt;-172.75,-20.6,0&lt;/coordinates&gt;&lt;/Point&gt;&lt;/Placemark&gt;</v>
      </c>
    </row>
    <row r="146" spans="1:6" x14ac:dyDescent="0.35">
      <c r="A146" s="1">
        <f>COUNTA(A$12:A145)-1</f>
        <v>133</v>
      </c>
      <c r="B146" s="3">
        <f t="shared" si="14"/>
        <v>-173</v>
      </c>
      <c r="C146" s="4">
        <f t="shared" si="12"/>
        <v>-20.585061028574952</v>
      </c>
      <c r="D146" s="4">
        <f t="shared" si="13"/>
        <v>1.581378407189149E-2</v>
      </c>
      <c r="E146" s="5">
        <f t="shared" si="15"/>
        <v>-20.59</v>
      </c>
      <c r="F146" t="str">
        <f t="shared" si="16"/>
        <v>&lt;Placemark&gt;&lt;name&gt;-20.59,-173&lt;/name&gt;&lt;Point&gt;&lt;coordinates&gt;-173,-20.59,0&lt;/coordinates&gt;&lt;/Point&gt;&lt;/Placemark&gt;</v>
      </c>
    </row>
    <row r="147" spans="1:6" x14ac:dyDescent="0.35">
      <c r="A147" s="1">
        <f>COUNTA(A$12:A146)-1</f>
        <v>134</v>
      </c>
      <c r="B147" s="3">
        <f t="shared" si="14"/>
        <v>-173.25</v>
      </c>
      <c r="C147" s="4">
        <f t="shared" si="12"/>
        <v>-20.568884845270201</v>
      </c>
      <c r="D147" s="4">
        <f t="shared" si="13"/>
        <v>1.617618330475068E-2</v>
      </c>
      <c r="E147" s="5">
        <f t="shared" si="15"/>
        <v>-20.57</v>
      </c>
      <c r="F147" t="str">
        <f t="shared" si="16"/>
        <v>&lt;Placemark&gt;&lt;name&gt;-20.57,-173.25&lt;/name&gt;&lt;Point&gt;&lt;coordinates&gt;-173.25,-20.57,0&lt;/coordinates&gt;&lt;/Point&gt;&lt;/Placemark&gt;</v>
      </c>
    </row>
    <row r="148" spans="1:6" x14ac:dyDescent="0.35">
      <c r="A148" s="1">
        <f>COUNTA(A$12:A147)-1</f>
        <v>135</v>
      </c>
      <c r="B148" s="3">
        <f t="shared" si="14"/>
        <v>-173.5</v>
      </c>
      <c r="C148" s="4">
        <f t="shared" si="12"/>
        <v>-20.552346343936502</v>
      </c>
      <c r="D148" s="4">
        <f t="shared" si="13"/>
        <v>1.6538501333698719E-2</v>
      </c>
      <c r="E148" s="5">
        <f t="shared" si="15"/>
        <v>-20.55</v>
      </c>
      <c r="F148" t="str">
        <f t="shared" si="16"/>
        <v>&lt;Placemark&gt;&lt;name&gt;-20.55,-173.5&lt;/name&gt;&lt;Point&gt;&lt;coordinates&gt;-173.5,-20.55,0&lt;/coordinates&gt;&lt;/Point&gt;&lt;/Placemark&gt;</v>
      </c>
    </row>
    <row r="149" spans="1:6" x14ac:dyDescent="0.35">
      <c r="A149" s="1">
        <f>COUNTA(A$12:A148)-1</f>
        <v>136</v>
      </c>
      <c r="B149" s="3">
        <f t="shared" si="14"/>
        <v>-173.75</v>
      </c>
      <c r="C149" s="4">
        <f t="shared" si="12"/>
        <v>-20.535445608022382</v>
      </c>
      <c r="D149" s="4">
        <f t="shared" si="13"/>
        <v>1.6900735914120446E-2</v>
      </c>
      <c r="E149" s="5">
        <f t="shared" si="15"/>
        <v>-20.54</v>
      </c>
      <c r="F149" t="str">
        <f t="shared" si="16"/>
        <v>&lt;Placemark&gt;&lt;name&gt;-20.54,-173.75&lt;/name&gt;&lt;Point&gt;&lt;coordinates&gt;-173.75,-20.54,0&lt;/coordinates&gt;&lt;/Point&gt;&lt;/Placemark&gt;</v>
      </c>
    </row>
    <row r="150" spans="1:6" x14ac:dyDescent="0.35">
      <c r="A150" s="1">
        <f>COUNTA(A$12:A149)-1</f>
        <v>137</v>
      </c>
      <c r="B150" s="3">
        <f t="shared" si="14"/>
        <v>-174</v>
      </c>
      <c r="C150" s="4">
        <f t="shared" si="12"/>
        <v>-20.518182723248771</v>
      </c>
      <c r="D150" s="4">
        <f t="shared" si="13"/>
        <v>1.7262884773611376E-2</v>
      </c>
      <c r="E150" s="5">
        <f t="shared" si="15"/>
        <v>-20.52</v>
      </c>
      <c r="F150" t="str">
        <f t="shared" si="16"/>
        <v>&lt;Placemark&gt;&lt;name&gt;-20.52,-174&lt;/name&gt;&lt;Point&gt;&lt;coordinates&gt;-174,-20.52,0&lt;/coordinates&gt;&lt;/Point&gt;&lt;/Placemark&gt;</v>
      </c>
    </row>
    <row r="151" spans="1:6" x14ac:dyDescent="0.35">
      <c r="A151" s="1">
        <f>COUNTA(A$12:A150)-1</f>
        <v>138</v>
      </c>
      <c r="B151" s="3">
        <f t="shared" si="14"/>
        <v>-174.25</v>
      </c>
      <c r="C151" s="4">
        <f t="shared" si="12"/>
        <v>-20.500557777637336</v>
      </c>
      <c r="D151" s="4">
        <f t="shared" si="13"/>
        <v>1.7624945611434129E-2</v>
      </c>
      <c r="E151" s="5">
        <f t="shared" si="15"/>
        <v>-20.5</v>
      </c>
      <c r="F151" t="str">
        <f t="shared" si="16"/>
        <v>&lt;Placemark&gt;&lt;name&gt;-20.5,-174.25&lt;/name&gt;&lt;Point&gt;&lt;coordinates&gt;-174.25,-20.5,0&lt;/coordinates&gt;&lt;/Point&gt;&lt;/Placemark&gt;</v>
      </c>
    </row>
    <row r="152" spans="1:6" x14ac:dyDescent="0.35">
      <c r="A152" s="1">
        <f>COUNTA(A$12:A151)-1</f>
        <v>139</v>
      </c>
      <c r="B152" s="3">
        <f t="shared" si="14"/>
        <v>-174.5</v>
      </c>
      <c r="C152" s="4">
        <f t="shared" si="12"/>
        <v>-20.4825708615395</v>
      </c>
      <c r="D152" s="4">
        <f t="shared" si="13"/>
        <v>1.7986916097836314E-2</v>
      </c>
      <c r="E152" s="5">
        <f t="shared" si="15"/>
        <v>-20.48</v>
      </c>
      <c r="F152" t="str">
        <f t="shared" si="16"/>
        <v>&lt;Placemark&gt;&lt;name&gt;-20.48,-174.5&lt;/name&gt;&lt;Point&gt;&lt;coordinates&gt;-174.5,-20.48,0&lt;/coordinates&gt;&lt;/Point&gt;&lt;/Placemark&gt;</v>
      </c>
    </row>
    <row r="153" spans="1:6" x14ac:dyDescent="0.35">
      <c r="A153" s="1">
        <f>COUNTA(A$12:A152)-1</f>
        <v>140</v>
      </c>
      <c r="B153" s="3">
        <f t="shared" si="14"/>
        <v>-174.75</v>
      </c>
      <c r="C153" s="4">
        <f t="shared" si="12"/>
        <v>-20.464222067665961</v>
      </c>
      <c r="D153" s="4">
        <f t="shared" si="13"/>
        <v>1.8348793873538938E-2</v>
      </c>
      <c r="E153" s="5">
        <f t="shared" si="15"/>
        <v>-20.46</v>
      </c>
      <c r="F153" t="str">
        <f t="shared" si="16"/>
        <v>&lt;Placemark&gt;&lt;name&gt;-20.46,-174.75&lt;/name&gt;&lt;Point&gt;&lt;coordinates&gt;-174.75,-20.46,0&lt;/coordinates&gt;&lt;/Point&gt;&lt;/Placemark&gt;</v>
      </c>
    </row>
    <row r="154" spans="1:6" x14ac:dyDescent="0.35">
      <c r="A154" s="1">
        <f>COUNTA(A$12:A153)-1</f>
        <v>141</v>
      </c>
      <c r="B154" s="3">
        <f t="shared" si="14"/>
        <v>-175</v>
      </c>
      <c r="C154" s="4">
        <f t="shared" si="12"/>
        <v>-20.445511491116843</v>
      </c>
      <c r="D154" s="4">
        <f t="shared" si="13"/>
        <v>1.871057654911823E-2</v>
      </c>
      <c r="E154" s="5">
        <f t="shared" si="15"/>
        <v>-20.45</v>
      </c>
      <c r="F154" t="str">
        <f t="shared" si="16"/>
        <v>&lt;Placemark&gt;&lt;name&gt;-20.45,-175&lt;/name&gt;&lt;Point&gt;&lt;coordinates&gt;-175,-20.45,0&lt;/coordinates&gt;&lt;/Point&gt;&lt;/Placemark&gt;</v>
      </c>
    </row>
    <row r="155" spans="1:6" x14ac:dyDescent="0.35">
      <c r="A155" s="1">
        <f>COUNTA(A$12:A154)-1</f>
        <v>142</v>
      </c>
      <c r="B155" s="3">
        <f t="shared" si="14"/>
        <v>-175.25</v>
      </c>
      <c r="C155" s="4">
        <f t="shared" si="12"/>
        <v>-20.42643922941237</v>
      </c>
      <c r="D155" s="4">
        <f t="shared" si="13"/>
        <v>1.9072261704472737E-2</v>
      </c>
      <c r="E155" s="5">
        <f t="shared" si="15"/>
        <v>-20.43</v>
      </c>
      <c r="F155" t="str">
        <f t="shared" si="16"/>
        <v>&lt;Placemark&gt;&lt;name&gt;-20.43,-175.25&lt;/name&gt;&lt;Point&gt;&lt;coordinates&gt;-175.25,-20.43,0&lt;/coordinates&gt;&lt;/Point&gt;&lt;/Placemark&gt;</v>
      </c>
    </row>
    <row r="156" spans="1:6" x14ac:dyDescent="0.35">
      <c r="A156" s="1">
        <f>COUNTA(A$12:A155)-1</f>
        <v>143</v>
      </c>
      <c r="B156" s="3">
        <f t="shared" si="14"/>
        <v>-175.5</v>
      </c>
      <c r="C156" s="4">
        <f t="shared" si="12"/>
        <v>-20.407005382524211</v>
      </c>
      <c r="D156" s="4">
        <f t="shared" si="13"/>
        <v>1.9433846888158968E-2</v>
      </c>
      <c r="E156" s="5">
        <f t="shared" si="15"/>
        <v>-20.41</v>
      </c>
      <c r="F156" t="str">
        <f t="shared" si="16"/>
        <v>&lt;Placemark&gt;&lt;name&gt;-20.41,-175.5&lt;/name&gt;&lt;Point&gt;&lt;coordinates&gt;-175.5,-20.41,0&lt;/coordinates&gt;&lt;/Point&gt;&lt;/Placemark&gt;</v>
      </c>
    </row>
    <row r="157" spans="1:6" x14ac:dyDescent="0.35">
      <c r="A157" s="1">
        <f>COUNTA(A$12:A156)-1</f>
        <v>144</v>
      </c>
      <c r="B157" s="3">
        <f t="shared" si="14"/>
        <v>-175.75</v>
      </c>
      <c r="C157" s="4">
        <f t="shared" si="12"/>
        <v>-20.387210052907307</v>
      </c>
      <c r="D157" s="4">
        <f t="shared" si="13"/>
        <v>1.9795329616904667E-2</v>
      </c>
      <c r="E157" s="5">
        <f t="shared" si="15"/>
        <v>-20.39</v>
      </c>
      <c r="F157" t="str">
        <f t="shared" si="16"/>
        <v>&lt;Placemark&gt;&lt;name&gt;-20.39,-175.75&lt;/name&gt;&lt;Point&gt;&lt;coordinates&gt;-175.75,-20.39,0&lt;/coordinates&gt;&lt;/Point&gt;&lt;/Placemark&gt;</v>
      </c>
    </row>
    <row r="158" spans="1:6" x14ac:dyDescent="0.35">
      <c r="A158" s="1">
        <f>COUNTA(A$12:A157)-1</f>
        <v>145</v>
      </c>
      <c r="B158" s="3">
        <f t="shared" si="14"/>
        <v>-176</v>
      </c>
      <c r="C158" s="4">
        <f t="shared" si="12"/>
        <v>-20.367053345532355</v>
      </c>
      <c r="D158" s="4">
        <f t="shared" si="13"/>
        <v>2.0156707374951566E-2</v>
      </c>
      <c r="E158" s="5">
        <f t="shared" si="15"/>
        <v>-20.37</v>
      </c>
      <c r="F158" t="str">
        <f t="shared" si="16"/>
        <v>&lt;Placemark&gt;&lt;name&gt;-20.37,-176&lt;/name&gt;&lt;Point&gt;&lt;coordinates&gt;-176,-20.37,0&lt;/coordinates&gt;&lt;/Point&gt;&lt;/Placemark&gt;</v>
      </c>
    </row>
    <row r="159" spans="1:6" x14ac:dyDescent="0.35">
      <c r="A159" s="1">
        <f>COUNTA(A$12:A158)-1</f>
        <v>146</v>
      </c>
      <c r="B159" s="3">
        <f t="shared" si="14"/>
        <v>-176.25</v>
      </c>
      <c r="C159" s="4">
        <f t="shared" si="12"/>
        <v>-20.346535367918797</v>
      </c>
      <c r="D159" s="4">
        <f t="shared" si="13"/>
        <v>2.0517977613558003E-2</v>
      </c>
      <c r="E159" s="5">
        <f t="shared" si="15"/>
        <v>-20.350000000000001</v>
      </c>
      <c r="F159" t="str">
        <f t="shared" si="16"/>
        <v>&lt;Placemark&gt;&lt;name&gt;-20.35,-176.25&lt;/name&gt;&lt;Point&gt;&lt;coordinates&gt;-176.25,-20.35,0&lt;/coordinates&gt;&lt;/Point&gt;&lt;/Placemark&gt;</v>
      </c>
    </row>
    <row r="160" spans="1:6" x14ac:dyDescent="0.35">
      <c r="A160" s="1">
        <f>COUNTA(A$12:A159)-1</f>
        <v>147</v>
      </c>
      <c r="B160" s="3">
        <f t="shared" si="14"/>
        <v>-176.5</v>
      </c>
      <c r="C160" s="4">
        <f t="shared" si="12"/>
        <v>-20.325656230168423</v>
      </c>
      <c r="D160" s="4">
        <f t="shared" si="13"/>
        <v>2.0879137750373644E-2</v>
      </c>
      <c r="E160" s="5">
        <f t="shared" si="15"/>
        <v>-20.329999999999998</v>
      </c>
      <c r="F160" t="str">
        <f t="shared" si="16"/>
        <v>&lt;Placemark&gt;&lt;name&gt;-20.33,-176.5&lt;/name&gt;&lt;Point&gt;&lt;coordinates&gt;-176.5,-20.33,0&lt;/coordinates&gt;&lt;/Point&gt;&lt;/Placemark&gt;</v>
      </c>
    </row>
    <row r="161" spans="1:6" x14ac:dyDescent="0.35">
      <c r="A161" s="1">
        <f>COUNTA(A$12:A160)-1</f>
        <v>148</v>
      </c>
      <c r="B161" s="3">
        <f t="shared" si="14"/>
        <v>-176.75</v>
      </c>
      <c r="C161" s="4">
        <f t="shared" si="12"/>
        <v>-20.304416044999535</v>
      </c>
      <c r="D161" s="4">
        <f t="shared" si="13"/>
        <v>2.1240185168888814E-2</v>
      </c>
      <c r="E161" s="5">
        <f t="shared" si="15"/>
        <v>-20.3</v>
      </c>
      <c r="F161" t="str">
        <f t="shared" si="16"/>
        <v>&lt;Placemark&gt;&lt;name&gt;-20.3,-176.75&lt;/name&gt;&lt;Point&gt;&lt;coordinates&gt;-176.75,-20.3,0&lt;/coordinates&gt;&lt;/Point&gt;&lt;/Placemark&gt;</v>
      </c>
    </row>
    <row r="162" spans="1:6" x14ac:dyDescent="0.35">
      <c r="A162" s="1">
        <f>COUNTA(A$12:A161)-1</f>
        <v>149</v>
      </c>
      <c r="B162" s="3">
        <f t="shared" si="14"/>
        <v>-177</v>
      </c>
      <c r="C162" s="4">
        <f t="shared" si="12"/>
        <v>-20.282814927781661</v>
      </c>
      <c r="D162" s="4">
        <f t="shared" si="13"/>
        <v>2.1601117217873167E-2</v>
      </c>
      <c r="E162" s="5">
        <f t="shared" si="15"/>
        <v>-20.28</v>
      </c>
      <c r="F162" t="str">
        <f t="shared" si="16"/>
        <v>&lt;Placemark&gt;&lt;name&gt;-20.28,-177&lt;/name&gt;&lt;Point&gt;&lt;coordinates&gt;-177,-20.28,0&lt;/coordinates&gt;&lt;/Point&gt;&lt;/Placemark&gt;</v>
      </c>
    </row>
    <row r="163" spans="1:6" x14ac:dyDescent="0.35">
      <c r="A163" s="1">
        <f>COUNTA(A$12:A162)-1</f>
        <v>150</v>
      </c>
      <c r="B163" s="3">
        <f t="shared" si="14"/>
        <v>-177.25</v>
      </c>
      <c r="C163" s="4">
        <f t="shared" si="12"/>
        <v>-20.260852996570875</v>
      </c>
      <c r="D163" s="4">
        <f t="shared" si="13"/>
        <v>2.1961931210785934E-2</v>
      </c>
      <c r="E163" s="5">
        <f t="shared" si="15"/>
        <v>-20.260000000000002</v>
      </c>
      <c r="F163" t="str">
        <f t="shared" si="16"/>
        <v>&lt;Placemark&gt;&lt;name&gt;-20.26,-177.25&lt;/name&gt;&lt;Point&gt;&lt;coordinates&gt;-177.25,-20.26,0&lt;/coordinates&gt;&lt;/Point&gt;&lt;/Placemark&gt;</v>
      </c>
    </row>
    <row r="164" spans="1:6" x14ac:dyDescent="0.35">
      <c r="A164" s="1">
        <f>COUNTA(A$12:A163)-1</f>
        <v>151</v>
      </c>
      <c r="B164" s="3">
        <f t="shared" si="14"/>
        <v>-177.5</v>
      </c>
      <c r="C164" s="4">
        <f t="shared" si="12"/>
        <v>-20.238530372145629</v>
      </c>
      <c r="D164" s="4">
        <f t="shared" si="13"/>
        <v>2.2322624425246573E-2</v>
      </c>
      <c r="E164" s="5">
        <f t="shared" si="15"/>
        <v>-20.239999999999998</v>
      </c>
      <c r="F164" t="str">
        <f t="shared" si="16"/>
        <v>&lt;Placemark&gt;&lt;name&gt;-20.24,-177.5&lt;/name&gt;&lt;Point&gt;&lt;coordinates&gt;-177.5,-20.24,0&lt;/coordinates&gt;&lt;/Point&gt;&lt;/Placemark&gt;</v>
      </c>
    </row>
    <row r="165" spans="1:6" x14ac:dyDescent="0.35">
      <c r="A165" s="1">
        <f>COUNTA(A$12:A164)-1</f>
        <v>152</v>
      </c>
      <c r="B165" s="3">
        <f t="shared" si="14"/>
        <v>-177.75</v>
      </c>
      <c r="C165" s="4">
        <f t="shared" si="12"/>
        <v>-20.215847178043159</v>
      </c>
      <c r="D165" s="4">
        <f t="shared" si="13"/>
        <v>2.2683194102469884E-2</v>
      </c>
      <c r="E165" s="5">
        <f t="shared" si="15"/>
        <v>-20.22</v>
      </c>
      <c r="F165" t="str">
        <f t="shared" si="16"/>
        <v>&lt;Placemark&gt;&lt;name&gt;-20.22,-177.75&lt;/name&gt;&lt;Point&gt;&lt;coordinates&gt;-177.75,-20.22,0&lt;/coordinates&gt;&lt;/Point&gt;&lt;/Placemark&gt;</v>
      </c>
    </row>
    <row r="166" spans="1:6" x14ac:dyDescent="0.35">
      <c r="A166" s="1">
        <f>COUNTA(A$12:A165)-1</f>
        <v>153</v>
      </c>
      <c r="B166" s="3">
        <f t="shared" si="14"/>
        <v>-178</v>
      </c>
      <c r="C166" s="4">
        <f t="shared" si="12"/>
        <v>-20.192803540596508</v>
      </c>
      <c r="D166" s="4">
        <f t="shared" si="13"/>
        <v>2.3043637446651388E-2</v>
      </c>
      <c r="E166" s="5">
        <f t="shared" si="15"/>
        <v>-20.190000000000001</v>
      </c>
      <c r="F166" t="str">
        <f t="shared" si="16"/>
        <v>&lt;Placemark&gt;&lt;name&gt;-20.19,-178&lt;/name&gt;&lt;Point&gt;&lt;coordinates&gt;-178,-20.19,0&lt;/coordinates&gt;&lt;/Point&gt;&lt;/Placemark&gt;</v>
      </c>
    </row>
    <row r="167" spans="1:6" x14ac:dyDescent="0.35">
      <c r="A167" s="1">
        <f>COUNTA(A$12:A166)-1</f>
        <v>154</v>
      </c>
      <c r="B167" s="3">
        <f t="shared" si="14"/>
        <v>-178.25</v>
      </c>
      <c r="C167" s="4">
        <f t="shared" si="12"/>
        <v>-20.169399588971995</v>
      </c>
      <c r="D167" s="4">
        <f t="shared" si="13"/>
        <v>2.3403951624512587E-2</v>
      </c>
      <c r="E167" s="5">
        <f t="shared" si="15"/>
        <v>-20.170000000000002</v>
      </c>
      <c r="F167" t="str">
        <f t="shared" si="16"/>
        <v>&lt;Placemark&gt;&lt;name&gt;-20.17,-178.25&lt;/name&gt;&lt;Point&gt;&lt;coordinates&gt;-178.25,-20.17,0&lt;/coordinates&gt;&lt;/Point&gt;&lt;/Placemark&gt;</v>
      </c>
    </row>
    <row r="168" spans="1:6" x14ac:dyDescent="0.35">
      <c r="A168" s="1">
        <f>COUNTA(A$12:A167)-1</f>
        <v>155</v>
      </c>
      <c r="B168" s="3">
        <f t="shared" si="14"/>
        <v>-178.5</v>
      </c>
      <c r="C168" s="4">
        <f t="shared" si="12"/>
        <v>-20.145635455207337</v>
      </c>
      <c r="D168" s="4">
        <f t="shared" si="13"/>
        <v>2.3764133764657913E-2</v>
      </c>
      <c r="E168" s="5">
        <f t="shared" si="15"/>
        <v>-20.149999999999999</v>
      </c>
      <c r="F168" t="str">
        <f t="shared" si="16"/>
        <v>&lt;Placemark&gt;&lt;name&gt;-20.15,-178.5&lt;/name&gt;&lt;Point&gt;&lt;coordinates&gt;-178.5,-20.15,0&lt;/coordinates&gt;&lt;/Point&gt;&lt;/Placemark&gt;</v>
      </c>
    </row>
    <row r="169" spans="1:6" x14ac:dyDescent="0.35">
      <c r="A169" s="1">
        <f>COUNTA(A$12:A168)-1</f>
        <v>156</v>
      </c>
      <c r="B169" s="3">
        <f t="shared" si="14"/>
        <v>-178.75</v>
      </c>
      <c r="C169" s="4">
        <f t="shared" si="12"/>
        <v>-20.121511274250256</v>
      </c>
      <c r="D169" s="4">
        <f t="shared" si="13"/>
        <v>2.412418095708091E-2</v>
      </c>
      <c r="E169" s="5">
        <f t="shared" si="15"/>
        <v>-20.12</v>
      </c>
      <c r="F169" t="str">
        <f t="shared" si="16"/>
        <v>&lt;Placemark&gt;&lt;name&gt;-20.12,-178.75&lt;/name&gt;&lt;Point&gt;&lt;coordinates&gt;-178.75,-20.12,0&lt;/coordinates&gt;&lt;/Point&gt;&lt;/Placemark&gt;</v>
      </c>
    </row>
    <row r="170" spans="1:6" x14ac:dyDescent="0.35">
      <c r="A170" s="1">
        <f>COUNTA(A$12:A169)-1</f>
        <v>157</v>
      </c>
      <c r="B170" s="3">
        <f t="shared" si="14"/>
        <v>-179</v>
      </c>
      <c r="C170" s="4">
        <f t="shared" si="12"/>
        <v>-20.097027183997675</v>
      </c>
      <c r="D170" s="4">
        <f t="shared" si="13"/>
        <v>2.4484090252581581E-2</v>
      </c>
      <c r="E170" s="5">
        <f t="shared" si="15"/>
        <v>-20.100000000000001</v>
      </c>
      <c r="F170" t="str">
        <f t="shared" si="16"/>
        <v>&lt;Placemark&gt;&lt;name&gt;-20.1,-179&lt;/name&gt;&lt;Point&gt;&lt;coordinates&gt;-179,-20.1,0&lt;/coordinates&gt;&lt;/Point&gt;&lt;/Placemark&gt;</v>
      </c>
    </row>
    <row r="171" spans="1:6" x14ac:dyDescent="0.35">
      <c r="A171" s="1">
        <f>COUNTA(A$12:A170)-1</f>
        <v>158</v>
      </c>
      <c r="B171" s="3">
        <f t="shared" si="14"/>
        <v>-179.25</v>
      </c>
      <c r="C171" s="4">
        <f t="shared" si="12"/>
        <v>-20.072183325335448</v>
      </c>
      <c r="D171" s="4">
        <f t="shared" si="13"/>
        <v>2.4843858662226381E-2</v>
      </c>
      <c r="E171" s="5">
        <f t="shared" si="15"/>
        <v>-20.07</v>
      </c>
      <c r="F171" t="str">
        <f t="shared" si="16"/>
        <v>&lt;Placemark&gt;&lt;name&gt;-20.07,-179.25&lt;/name&gt;&lt;Point&gt;&lt;coordinates&gt;-179.25,-20.07,0&lt;/coordinates&gt;&lt;/Point&gt;&lt;/Placemark&gt;</v>
      </c>
    </row>
    <row r="172" spans="1:6" x14ac:dyDescent="0.35">
      <c r="A172" s="1">
        <f>COUNTA(A$12:A171)-1</f>
        <v>159</v>
      </c>
      <c r="B172" s="3">
        <f t="shared" si="14"/>
        <v>-179.5</v>
      </c>
      <c r="C172" s="4">
        <f t="shared" si="12"/>
        <v>-20.046979842178597</v>
      </c>
      <c r="D172" s="4">
        <f t="shared" si="13"/>
        <v>2.5203483156850837E-2</v>
      </c>
      <c r="E172" s="5">
        <f t="shared" si="15"/>
        <v>-20.05</v>
      </c>
      <c r="F172" t="str">
        <f t="shared" si="16"/>
        <v>&lt;Placemark&gt;&lt;name&gt;-20.05,-179.5&lt;/name&gt;&lt;Point&gt;&lt;coordinates&gt;-179.5,-20.05,0&lt;/coordinates&gt;&lt;/Point&gt;&lt;/Placemark&gt;</v>
      </c>
    </row>
    <row r="173" spans="1:6" x14ac:dyDescent="0.35">
      <c r="A173" s="1">
        <f>COUNTA(A$12:A172)-1</f>
        <v>160</v>
      </c>
      <c r="B173" s="3">
        <f t="shared" si="14"/>
        <v>-179.75</v>
      </c>
      <c r="C173" s="4">
        <f t="shared" si="12"/>
        <v>-20.021416881512142</v>
      </c>
      <c r="D173" s="4">
        <f t="shared" si="13"/>
        <v>2.5562960666455581E-2</v>
      </c>
      <c r="E173" s="5">
        <f t="shared" si="15"/>
        <v>-20.02</v>
      </c>
      <c r="F173" t="str">
        <f t="shared" si="16"/>
        <v>&lt;Placemark&gt;&lt;name&gt;-20.02,-179.75&lt;/name&gt;&lt;Point&gt;&lt;coordinates&gt;-179.75,-20.02,0&lt;/coordinates&gt;&lt;/Point&gt;&lt;/Placemark&gt;</v>
      </c>
    </row>
    <row r="174" spans="1:6" x14ac:dyDescent="0.35">
      <c r="A174" s="6">
        <f>COUNTA(A$12:A173)-1</f>
        <v>161</v>
      </c>
      <c r="B174" s="7">
        <f t="shared" si="14"/>
        <v>-180</v>
      </c>
      <c r="C174" s="8">
        <f t="shared" si="12"/>
        <v>-19.995494593432422</v>
      </c>
      <c r="D174" s="8">
        <f t="shared" si="13"/>
        <v>2.5922288079719635E-2</v>
      </c>
      <c r="E174" s="10">
        <f t="shared" si="15"/>
        <v>-20</v>
      </c>
      <c r="F174" t="str">
        <f t="shared" si="16"/>
        <v>&lt;Placemark&gt;&lt;name&gt;-20,-180&lt;/name&gt;&lt;Point&gt;&lt;coordinates&gt;-180,-20,0&lt;/coordinates&gt;&lt;/Point&gt;&lt;/Placemark&gt;</v>
      </c>
    </row>
  </sheetData>
  <pageMargins left="0.7" right="0.7" top="0.75" bottom="0.75" header="0.3" footer="0.3"/>
  <pageSetup paperSize="9" orientation="portrait" r:id="rId1"/>
  <headerFooter>
    <oddFooter>&amp;C_x000D_&amp;1#&amp;"Aptos"&amp;9&amp;K00AEFF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E6E6-1E38-40FA-98D5-D1CD53A4C053}">
  <dimension ref="A1:E463"/>
  <sheetViews>
    <sheetView tabSelected="1" workbookViewId="0"/>
  </sheetViews>
  <sheetFormatPr defaultRowHeight="14.5" x14ac:dyDescent="0.35"/>
  <cols>
    <col min="1" max="1" width="9.54296875" bestFit="1" customWidth="1"/>
    <col min="2" max="2" width="5.08984375" bestFit="1" customWidth="1"/>
    <col min="5" max="5" width="27.1796875" bestFit="1" customWidth="1"/>
  </cols>
  <sheetData>
    <row r="1" spans="1:5" x14ac:dyDescent="0.35">
      <c r="A1" t="s">
        <v>34</v>
      </c>
      <c r="B1" t="s">
        <v>10</v>
      </c>
      <c r="C1" t="s">
        <v>32</v>
      </c>
      <c r="D1" t="s">
        <v>11</v>
      </c>
      <c r="E1" t="s">
        <v>14</v>
      </c>
    </row>
    <row r="2" spans="1:5" x14ac:dyDescent="0.35">
      <c r="E2" t="s">
        <v>20</v>
      </c>
    </row>
    <row r="3" spans="1:5" x14ac:dyDescent="0.35">
      <c r="E3" t="s">
        <v>31</v>
      </c>
    </row>
    <row r="4" spans="1:5" x14ac:dyDescent="0.35">
      <c r="E4" t="s">
        <v>21</v>
      </c>
    </row>
    <row r="5" spans="1:5" x14ac:dyDescent="0.35">
      <c r="E5" t="s">
        <v>33</v>
      </c>
    </row>
    <row r="6" spans="1:5" x14ac:dyDescent="0.35">
      <c r="E6" t="s">
        <v>22</v>
      </c>
    </row>
    <row r="7" spans="1:5" x14ac:dyDescent="0.35">
      <c r="E7" t="s">
        <v>23</v>
      </c>
    </row>
    <row r="8" spans="1:5" x14ac:dyDescent="0.35">
      <c r="E8" t="s">
        <v>24</v>
      </c>
    </row>
    <row r="9" spans="1:5" x14ac:dyDescent="0.35">
      <c r="E9" t="s">
        <v>25</v>
      </c>
    </row>
    <row r="10" spans="1:5" x14ac:dyDescent="0.35">
      <c r="A10" t="s">
        <v>41</v>
      </c>
      <c r="B10">
        <f>COUNTIFS(A$1:A10,A10)-1</f>
        <v>0</v>
      </c>
      <c r="C10" cm="1">
        <f t="array" aca="1" ref="C10" ca="1">_xlfn.XLOOKUP($B10,INDIRECT($A10&amp;"!A:A"),INDIRECT($A10&amp;"!B:B"),,0,1)</f>
        <v>-180</v>
      </c>
      <c r="D10" cm="1">
        <f t="array" aca="1" ref="D10" ca="1">_xlfn.XLOOKUP($B10,INDIRECT($A10&amp;"!A:A"),INDIRECT($A10&amp;"!E:E"),,0,1)</f>
        <v>38.520000000000003</v>
      </c>
      <c r="E10" t="str">
        <f ca="1">"              "&amp;C10&amp;","&amp;D10&amp;",0"</f>
        <v xml:space="preserve">              -180,38.52,0</v>
      </c>
    </row>
    <row r="11" spans="1:5" x14ac:dyDescent="0.35">
      <c r="A11" t="s">
        <v>41</v>
      </c>
      <c r="B11">
        <f>COUNTIFS(A$1:A11,A11)-1</f>
        <v>1</v>
      </c>
      <c r="C11" cm="1">
        <f t="array" aca="1" ref="C11" ca="1">_xlfn.XLOOKUP(B11,INDIRECT(A11&amp;"!A:A"),INDIRECT(A11&amp;"!B:B"),,0,1)</f>
        <v>-179.75</v>
      </c>
      <c r="D11" cm="1">
        <f t="array" aca="1" ref="D11" ca="1">_xlfn.XLOOKUP($B11,INDIRECT($A11&amp;"!A:A"),INDIRECT($A11&amp;"!E:E"),,0,1)</f>
        <v>38.700000000000003</v>
      </c>
      <c r="E11" t="str">
        <f t="shared" ref="E11:E74" ca="1" si="0">"              "&amp;C11&amp;","&amp;D11&amp;",0"</f>
        <v xml:space="preserve">              -179.75,38.7,0</v>
      </c>
    </row>
    <row r="12" spans="1:5" x14ac:dyDescent="0.35">
      <c r="A12" t="s">
        <v>41</v>
      </c>
      <c r="B12">
        <f>COUNTIFS(A$1:A12,A12)-1</f>
        <v>2</v>
      </c>
      <c r="C12" cm="1">
        <f t="array" aca="1" ref="C12" ca="1">_xlfn.XLOOKUP(B12,INDIRECT(A12&amp;"!A:A"),INDIRECT(A12&amp;"!B:B"),,0,1)</f>
        <v>-179.5</v>
      </c>
      <c r="D12" cm="1">
        <f t="array" aca="1" ref="D12" ca="1">_xlfn.XLOOKUP($B12,INDIRECT($A12&amp;"!A:A"),INDIRECT($A12&amp;"!E:E"),,0,1)</f>
        <v>38.880000000000003</v>
      </c>
      <c r="E12" t="str">
        <f t="shared" ca="1" si="0"/>
        <v xml:space="preserve">              -179.5,38.88,0</v>
      </c>
    </row>
    <row r="13" spans="1:5" x14ac:dyDescent="0.35">
      <c r="A13" t="s">
        <v>41</v>
      </c>
      <c r="B13">
        <f>COUNTIFS(A$1:A13,A13)-1</f>
        <v>3</v>
      </c>
      <c r="C13" cm="1">
        <f t="array" aca="1" ref="C13" ca="1">_xlfn.XLOOKUP(B13,INDIRECT(A13&amp;"!A:A"),INDIRECT(A13&amp;"!B:B"),,0,1)</f>
        <v>-179.25</v>
      </c>
      <c r="D13" cm="1">
        <f t="array" aca="1" ref="D13" ca="1">_xlfn.XLOOKUP($B13,INDIRECT($A13&amp;"!A:A"),INDIRECT($A13&amp;"!E:E"),,0,1)</f>
        <v>39.049999999999997</v>
      </c>
      <c r="E13" t="str">
        <f t="shared" ca="1" si="0"/>
        <v xml:space="preserve">              -179.25,39.05,0</v>
      </c>
    </row>
    <row r="14" spans="1:5" x14ac:dyDescent="0.35">
      <c r="A14" t="s">
        <v>41</v>
      </c>
      <c r="B14">
        <f>COUNTIFS(A$1:A14,A14)-1</f>
        <v>4</v>
      </c>
      <c r="C14" cm="1">
        <f t="array" aca="1" ref="C14" ca="1">_xlfn.XLOOKUP(B14,INDIRECT(A14&amp;"!A:A"),INDIRECT(A14&amp;"!B:B"),,0,1)</f>
        <v>-179</v>
      </c>
      <c r="D14" cm="1">
        <f t="array" aca="1" ref="D14" ca="1">_xlfn.XLOOKUP($B14,INDIRECT($A14&amp;"!A:A"),INDIRECT($A14&amp;"!E:E"),,0,1)</f>
        <v>39.229999999999997</v>
      </c>
      <c r="E14" t="str">
        <f t="shared" ca="1" si="0"/>
        <v xml:space="preserve">              -179,39.23,0</v>
      </c>
    </row>
    <row r="15" spans="1:5" x14ac:dyDescent="0.35">
      <c r="A15" t="s">
        <v>41</v>
      </c>
      <c r="B15">
        <f>COUNTIFS(A$1:A15,A15)-1</f>
        <v>5</v>
      </c>
      <c r="C15" cm="1">
        <f t="array" aca="1" ref="C15" ca="1">_xlfn.XLOOKUP(B15,INDIRECT(A15&amp;"!A:A"),INDIRECT(A15&amp;"!B:B"),,0,1)</f>
        <v>-178.75</v>
      </c>
      <c r="D15" cm="1">
        <f t="array" aca="1" ref="D15" ca="1">_xlfn.XLOOKUP($B15,INDIRECT($A15&amp;"!A:A"),INDIRECT($A15&amp;"!E:E"),,0,1)</f>
        <v>39.4</v>
      </c>
      <c r="E15" t="str">
        <f t="shared" ca="1" si="0"/>
        <v xml:space="preserve">              -178.75,39.4,0</v>
      </c>
    </row>
    <row r="16" spans="1:5" x14ac:dyDescent="0.35">
      <c r="A16" t="s">
        <v>41</v>
      </c>
      <c r="B16">
        <f>COUNTIFS(A$1:A16,A16)-1</f>
        <v>6</v>
      </c>
      <c r="C16" cm="1">
        <f t="array" aca="1" ref="C16" ca="1">_xlfn.XLOOKUP(B16,INDIRECT(A16&amp;"!A:A"),INDIRECT(A16&amp;"!B:B"),,0,1)</f>
        <v>-178.5</v>
      </c>
      <c r="D16" cm="1">
        <f t="array" aca="1" ref="D16" ca="1">_xlfn.XLOOKUP($B16,INDIRECT($A16&amp;"!A:A"),INDIRECT($A16&amp;"!E:E"),,0,1)</f>
        <v>39.57</v>
      </c>
      <c r="E16" t="str">
        <f t="shared" ca="1" si="0"/>
        <v xml:space="preserve">              -178.5,39.57,0</v>
      </c>
    </row>
    <row r="17" spans="1:5" x14ac:dyDescent="0.35">
      <c r="A17" t="s">
        <v>41</v>
      </c>
      <c r="B17">
        <f>COUNTIFS(A$1:A17,A17)-1</f>
        <v>7</v>
      </c>
      <c r="C17" cm="1">
        <f t="array" aca="1" ref="C17" ca="1">_xlfn.XLOOKUP(B17,INDIRECT(A17&amp;"!A:A"),INDIRECT(A17&amp;"!B:B"),,0,1)</f>
        <v>-178.25</v>
      </c>
      <c r="D17" cm="1">
        <f t="array" aca="1" ref="D17" ca="1">_xlfn.XLOOKUP($B17,INDIRECT($A17&amp;"!A:A"),INDIRECT($A17&amp;"!E:E"),,0,1)</f>
        <v>39.74</v>
      </c>
      <c r="E17" t="str">
        <f t="shared" ca="1" si="0"/>
        <v xml:space="preserve">              -178.25,39.74,0</v>
      </c>
    </row>
    <row r="18" spans="1:5" x14ac:dyDescent="0.35">
      <c r="A18" t="s">
        <v>41</v>
      </c>
      <c r="B18">
        <f>COUNTIFS(A$1:A18,A18)-1</f>
        <v>8</v>
      </c>
      <c r="C18" cm="1">
        <f t="array" aca="1" ref="C18" ca="1">_xlfn.XLOOKUP(B18,INDIRECT(A18&amp;"!A:A"),INDIRECT(A18&amp;"!B:B"),,0,1)</f>
        <v>-178</v>
      </c>
      <c r="D18" cm="1">
        <f t="array" aca="1" ref="D18" ca="1">_xlfn.XLOOKUP($B18,INDIRECT($A18&amp;"!A:A"),INDIRECT($A18&amp;"!E:E"),,0,1)</f>
        <v>39.909999999999997</v>
      </c>
      <c r="E18" t="str">
        <f t="shared" ca="1" si="0"/>
        <v xml:space="preserve">              -178,39.91,0</v>
      </c>
    </row>
    <row r="19" spans="1:5" x14ac:dyDescent="0.35">
      <c r="A19" t="s">
        <v>41</v>
      </c>
      <c r="B19">
        <f>COUNTIFS(A$1:A19,A19)-1</f>
        <v>9</v>
      </c>
      <c r="C19" cm="1">
        <f t="array" aca="1" ref="C19" ca="1">_xlfn.XLOOKUP(B19,INDIRECT(A19&amp;"!A:A"),INDIRECT(A19&amp;"!B:B"),,0,1)</f>
        <v>-177.75</v>
      </c>
      <c r="D19" cm="1">
        <f t="array" aca="1" ref="D19" ca="1">_xlfn.XLOOKUP($B19,INDIRECT($A19&amp;"!A:A"),INDIRECT($A19&amp;"!E:E"),,0,1)</f>
        <v>40.08</v>
      </c>
      <c r="E19" t="str">
        <f t="shared" ca="1" si="0"/>
        <v xml:space="preserve">              -177.75,40.08,0</v>
      </c>
    </row>
    <row r="20" spans="1:5" x14ac:dyDescent="0.35">
      <c r="A20" t="s">
        <v>41</v>
      </c>
      <c r="B20">
        <f>COUNTIFS(A$1:A20,A20)-1</f>
        <v>10</v>
      </c>
      <c r="C20" cm="1">
        <f t="array" aca="1" ref="C20" ca="1">_xlfn.XLOOKUP(B20,INDIRECT(A20&amp;"!A:A"),INDIRECT(A20&amp;"!B:B"),,0,1)</f>
        <v>-177.5</v>
      </c>
      <c r="D20" cm="1">
        <f t="array" aca="1" ref="D20" ca="1">_xlfn.XLOOKUP($B20,INDIRECT($A20&amp;"!A:A"),INDIRECT($A20&amp;"!E:E"),,0,1)</f>
        <v>40.24</v>
      </c>
      <c r="E20" t="str">
        <f t="shared" ca="1" si="0"/>
        <v xml:space="preserve">              -177.5,40.24,0</v>
      </c>
    </row>
    <row r="21" spans="1:5" x14ac:dyDescent="0.35">
      <c r="A21" t="s">
        <v>41</v>
      </c>
      <c r="B21">
        <f>COUNTIFS(A$1:A21,A21)-1</f>
        <v>11</v>
      </c>
      <c r="C21" cm="1">
        <f t="array" aca="1" ref="C21" ca="1">_xlfn.XLOOKUP(B21,INDIRECT(A21&amp;"!A:A"),INDIRECT(A21&amp;"!B:B"),,0,1)</f>
        <v>-177.25</v>
      </c>
      <c r="D21" cm="1">
        <f t="array" aca="1" ref="D21" ca="1">_xlfn.XLOOKUP($B21,INDIRECT($A21&amp;"!A:A"),INDIRECT($A21&amp;"!E:E"),,0,1)</f>
        <v>40.409999999999997</v>
      </c>
      <c r="E21" t="str">
        <f t="shared" ca="1" si="0"/>
        <v xml:space="preserve">              -177.25,40.41,0</v>
      </c>
    </row>
    <row r="22" spans="1:5" x14ac:dyDescent="0.35">
      <c r="A22" t="s">
        <v>41</v>
      </c>
      <c r="B22">
        <f>COUNTIFS(A$1:A22,A22)-1</f>
        <v>12</v>
      </c>
      <c r="C22" cm="1">
        <f t="array" aca="1" ref="C22" ca="1">_xlfn.XLOOKUP(B22,INDIRECT(A22&amp;"!A:A"),INDIRECT(A22&amp;"!B:B"),,0,1)</f>
        <v>-177</v>
      </c>
      <c r="D22" cm="1">
        <f t="array" aca="1" ref="D22" ca="1">_xlfn.XLOOKUP($B22,INDIRECT($A22&amp;"!A:A"),INDIRECT($A22&amp;"!E:E"),,0,1)</f>
        <v>40.57</v>
      </c>
      <c r="E22" t="str">
        <f t="shared" ca="1" si="0"/>
        <v xml:space="preserve">              -177,40.57,0</v>
      </c>
    </row>
    <row r="23" spans="1:5" x14ac:dyDescent="0.35">
      <c r="A23" t="s">
        <v>41</v>
      </c>
      <c r="B23">
        <f>COUNTIFS(A$1:A23,A23)-1</f>
        <v>13</v>
      </c>
      <c r="C23" cm="1">
        <f t="array" aca="1" ref="C23" ca="1">_xlfn.XLOOKUP(B23,INDIRECT(A23&amp;"!A:A"),INDIRECT(A23&amp;"!B:B"),,0,1)</f>
        <v>-176.75</v>
      </c>
      <c r="D23" cm="1">
        <f t="array" aca="1" ref="D23" ca="1">_xlfn.XLOOKUP($B23,INDIRECT($A23&amp;"!A:A"),INDIRECT($A23&amp;"!E:E"),,0,1)</f>
        <v>40.729999999999997</v>
      </c>
      <c r="E23" t="str">
        <f t="shared" ca="1" si="0"/>
        <v xml:space="preserve">              -176.75,40.73,0</v>
      </c>
    </row>
    <row r="24" spans="1:5" x14ac:dyDescent="0.35">
      <c r="A24" t="s">
        <v>41</v>
      </c>
      <c r="B24">
        <f>COUNTIFS(A$1:A24,A24)-1</f>
        <v>14</v>
      </c>
      <c r="C24" cm="1">
        <f t="array" aca="1" ref="C24" ca="1">_xlfn.XLOOKUP(B24,INDIRECT(A24&amp;"!A:A"),INDIRECT(A24&amp;"!B:B"),,0,1)</f>
        <v>-176.5</v>
      </c>
      <c r="D24" cm="1">
        <f t="array" aca="1" ref="D24" ca="1">_xlfn.XLOOKUP($B24,INDIRECT($A24&amp;"!A:A"),INDIRECT($A24&amp;"!E:E"),,0,1)</f>
        <v>40.89</v>
      </c>
      <c r="E24" t="str">
        <f t="shared" ca="1" si="0"/>
        <v xml:space="preserve">              -176.5,40.89,0</v>
      </c>
    </row>
    <row r="25" spans="1:5" x14ac:dyDescent="0.35">
      <c r="A25" t="s">
        <v>41</v>
      </c>
      <c r="B25">
        <f>COUNTIFS(A$1:A25,A25)-1</f>
        <v>15</v>
      </c>
      <c r="C25" cm="1">
        <f t="array" aca="1" ref="C25" ca="1">_xlfn.XLOOKUP(B25,INDIRECT(A25&amp;"!A:A"),INDIRECT(A25&amp;"!B:B"),,0,1)</f>
        <v>-176.25</v>
      </c>
      <c r="D25" cm="1">
        <f t="array" aca="1" ref="D25" ca="1">_xlfn.XLOOKUP($B25,INDIRECT($A25&amp;"!A:A"),INDIRECT($A25&amp;"!E:E"),,0,1)</f>
        <v>41.05</v>
      </c>
      <c r="E25" t="str">
        <f t="shared" ca="1" si="0"/>
        <v xml:space="preserve">              -176.25,41.05,0</v>
      </c>
    </row>
    <row r="26" spans="1:5" x14ac:dyDescent="0.35">
      <c r="A26" t="s">
        <v>41</v>
      </c>
      <c r="B26">
        <f>COUNTIFS(A$1:A26,A26)-1</f>
        <v>16</v>
      </c>
      <c r="C26" cm="1">
        <f t="array" aca="1" ref="C26" ca="1">_xlfn.XLOOKUP(B26,INDIRECT(A26&amp;"!A:A"),INDIRECT(A26&amp;"!B:B"),,0,1)</f>
        <v>-176</v>
      </c>
      <c r="D26" cm="1">
        <f t="array" aca="1" ref="D26" ca="1">_xlfn.XLOOKUP($B26,INDIRECT($A26&amp;"!A:A"),INDIRECT($A26&amp;"!E:E"),,0,1)</f>
        <v>41.21</v>
      </c>
      <c r="E26" t="str">
        <f t="shared" ca="1" si="0"/>
        <v xml:space="preserve">              -176,41.21,0</v>
      </c>
    </row>
    <row r="27" spans="1:5" x14ac:dyDescent="0.35">
      <c r="A27" t="s">
        <v>41</v>
      </c>
      <c r="B27">
        <f>COUNTIFS(A$1:A27,A27)-1</f>
        <v>17</v>
      </c>
      <c r="C27" cm="1">
        <f t="array" aca="1" ref="C27" ca="1">_xlfn.XLOOKUP(B27,INDIRECT(A27&amp;"!A:A"),INDIRECT(A27&amp;"!B:B"),,0,1)</f>
        <v>-175.75</v>
      </c>
      <c r="D27" cm="1">
        <f t="array" aca="1" ref="D27" ca="1">_xlfn.XLOOKUP($B27,INDIRECT($A27&amp;"!A:A"),INDIRECT($A27&amp;"!E:E"),,0,1)</f>
        <v>41.37</v>
      </c>
      <c r="E27" t="str">
        <f t="shared" ca="1" si="0"/>
        <v xml:space="preserve">              -175.75,41.37,0</v>
      </c>
    </row>
    <row r="28" spans="1:5" x14ac:dyDescent="0.35">
      <c r="A28" t="s">
        <v>41</v>
      </c>
      <c r="B28">
        <f>COUNTIFS(A$1:A28,A28)-1</f>
        <v>18</v>
      </c>
      <c r="C28" cm="1">
        <f t="array" aca="1" ref="C28" ca="1">_xlfn.XLOOKUP(B28,INDIRECT(A28&amp;"!A:A"),INDIRECT(A28&amp;"!B:B"),,0,1)</f>
        <v>-175.5</v>
      </c>
      <c r="D28" cm="1">
        <f t="array" aca="1" ref="D28" ca="1">_xlfn.XLOOKUP($B28,INDIRECT($A28&amp;"!A:A"),INDIRECT($A28&amp;"!E:E"),,0,1)</f>
        <v>41.52</v>
      </c>
      <c r="E28" t="str">
        <f t="shared" ca="1" si="0"/>
        <v xml:space="preserve">              -175.5,41.52,0</v>
      </c>
    </row>
    <row r="29" spans="1:5" x14ac:dyDescent="0.35">
      <c r="A29" t="s">
        <v>41</v>
      </c>
      <c r="B29">
        <f>COUNTIFS(A$1:A29,A29)-1</f>
        <v>19</v>
      </c>
      <c r="C29" cm="1">
        <f t="array" aca="1" ref="C29" ca="1">_xlfn.XLOOKUP(B29,INDIRECT(A29&amp;"!A:A"),INDIRECT(A29&amp;"!B:B"),,0,1)</f>
        <v>-175.25</v>
      </c>
      <c r="D29" cm="1">
        <f t="array" aca="1" ref="D29" ca="1">_xlfn.XLOOKUP($B29,INDIRECT($A29&amp;"!A:A"),INDIRECT($A29&amp;"!E:E"),,0,1)</f>
        <v>41.67</v>
      </c>
      <c r="E29" t="str">
        <f t="shared" ca="1" si="0"/>
        <v xml:space="preserve">              -175.25,41.67,0</v>
      </c>
    </row>
    <row r="30" spans="1:5" x14ac:dyDescent="0.35">
      <c r="A30" t="s">
        <v>41</v>
      </c>
      <c r="B30">
        <f>COUNTIFS(A$1:A30,A30)-1</f>
        <v>20</v>
      </c>
      <c r="C30" cm="1">
        <f t="array" aca="1" ref="C30" ca="1">_xlfn.XLOOKUP(B30,INDIRECT(A30&amp;"!A:A"),INDIRECT(A30&amp;"!B:B"),,0,1)</f>
        <v>-175</v>
      </c>
      <c r="D30" cm="1">
        <f t="array" aca="1" ref="D30" ca="1">_xlfn.XLOOKUP($B30,INDIRECT($A30&amp;"!A:A"),INDIRECT($A30&amp;"!E:E"),,0,1)</f>
        <v>41.83</v>
      </c>
      <c r="E30" t="str">
        <f t="shared" ca="1" si="0"/>
        <v xml:space="preserve">              -175,41.83,0</v>
      </c>
    </row>
    <row r="31" spans="1:5" x14ac:dyDescent="0.35">
      <c r="A31" t="s">
        <v>41</v>
      </c>
      <c r="B31">
        <f>COUNTIFS(A$1:A31,A31)-1</f>
        <v>21</v>
      </c>
      <c r="C31" cm="1">
        <f t="array" aca="1" ref="C31" ca="1">_xlfn.XLOOKUP(B31,INDIRECT(A31&amp;"!A:A"),INDIRECT(A31&amp;"!B:B"),,0,1)</f>
        <v>-174.75</v>
      </c>
      <c r="D31" cm="1">
        <f t="array" aca="1" ref="D31" ca="1">_xlfn.XLOOKUP($B31,INDIRECT($A31&amp;"!A:A"),INDIRECT($A31&amp;"!E:E"),,0,1)</f>
        <v>41.98</v>
      </c>
      <c r="E31" t="str">
        <f t="shared" ca="1" si="0"/>
        <v xml:space="preserve">              -174.75,41.98,0</v>
      </c>
    </row>
    <row r="32" spans="1:5" x14ac:dyDescent="0.35">
      <c r="A32" t="s">
        <v>41</v>
      </c>
      <c r="B32">
        <f>COUNTIFS(A$1:A32,A32)-1</f>
        <v>22</v>
      </c>
      <c r="C32" cm="1">
        <f t="array" aca="1" ref="C32" ca="1">_xlfn.XLOOKUP(B32,INDIRECT(A32&amp;"!A:A"),INDIRECT(A32&amp;"!B:B"),,0,1)</f>
        <v>-174.5</v>
      </c>
      <c r="D32" cm="1">
        <f t="array" aca="1" ref="D32" ca="1">_xlfn.XLOOKUP($B32,INDIRECT($A32&amp;"!A:A"),INDIRECT($A32&amp;"!E:E"),,0,1)</f>
        <v>42.13</v>
      </c>
      <c r="E32" t="str">
        <f t="shared" ca="1" si="0"/>
        <v xml:space="preserve">              -174.5,42.13,0</v>
      </c>
    </row>
    <row r="33" spans="1:5" x14ac:dyDescent="0.35">
      <c r="A33" t="s">
        <v>41</v>
      </c>
      <c r="B33">
        <f>COUNTIFS(A$1:A33,A33)-1</f>
        <v>23</v>
      </c>
      <c r="C33" cm="1">
        <f t="array" aca="1" ref="C33" ca="1">_xlfn.XLOOKUP(B33,INDIRECT(A33&amp;"!A:A"),INDIRECT(A33&amp;"!B:B"),,0,1)</f>
        <v>-174.25</v>
      </c>
      <c r="D33" cm="1">
        <f t="array" aca="1" ref="D33" ca="1">_xlfn.XLOOKUP($B33,INDIRECT($A33&amp;"!A:A"),INDIRECT($A33&amp;"!E:E"),,0,1)</f>
        <v>42.28</v>
      </c>
      <c r="E33" t="str">
        <f t="shared" ca="1" si="0"/>
        <v xml:space="preserve">              -174.25,42.28,0</v>
      </c>
    </row>
    <row r="34" spans="1:5" x14ac:dyDescent="0.35">
      <c r="A34" t="s">
        <v>41</v>
      </c>
      <c r="B34">
        <f>COUNTIFS(A$1:A34,A34)-1</f>
        <v>24</v>
      </c>
      <c r="C34" cm="1">
        <f t="array" aca="1" ref="C34" ca="1">_xlfn.XLOOKUP(B34,INDIRECT(A34&amp;"!A:A"),INDIRECT(A34&amp;"!B:B"),,0,1)</f>
        <v>-174</v>
      </c>
      <c r="D34" cm="1">
        <f t="array" aca="1" ref="D34" ca="1">_xlfn.XLOOKUP($B34,INDIRECT($A34&amp;"!A:A"),INDIRECT($A34&amp;"!E:E"),,0,1)</f>
        <v>42.43</v>
      </c>
      <c r="E34" t="str">
        <f t="shared" ca="1" si="0"/>
        <v xml:space="preserve">              -174,42.43,0</v>
      </c>
    </row>
    <row r="35" spans="1:5" x14ac:dyDescent="0.35">
      <c r="A35" t="s">
        <v>41</v>
      </c>
      <c r="B35">
        <f>COUNTIFS(A$1:A35,A35)-1</f>
        <v>25</v>
      </c>
      <c r="C35" cm="1">
        <f t="array" aca="1" ref="C35" ca="1">_xlfn.XLOOKUP(B35,INDIRECT(A35&amp;"!A:A"),INDIRECT(A35&amp;"!B:B"),,0,1)</f>
        <v>-173.75</v>
      </c>
      <c r="D35" cm="1">
        <f t="array" aca="1" ref="D35" ca="1">_xlfn.XLOOKUP($B35,INDIRECT($A35&amp;"!A:A"),INDIRECT($A35&amp;"!E:E"),,0,1)</f>
        <v>42.57</v>
      </c>
      <c r="E35" t="str">
        <f t="shared" ca="1" si="0"/>
        <v xml:space="preserve">              -173.75,42.57,0</v>
      </c>
    </row>
    <row r="36" spans="1:5" x14ac:dyDescent="0.35">
      <c r="A36" t="s">
        <v>41</v>
      </c>
      <c r="B36">
        <f>COUNTIFS(A$1:A36,A36)-1</f>
        <v>26</v>
      </c>
      <c r="C36" cm="1">
        <f t="array" aca="1" ref="C36" ca="1">_xlfn.XLOOKUP(B36,INDIRECT(A36&amp;"!A:A"),INDIRECT(A36&amp;"!B:B"),,0,1)</f>
        <v>-173.5</v>
      </c>
      <c r="D36" cm="1">
        <f t="array" aca="1" ref="D36" ca="1">_xlfn.XLOOKUP($B36,INDIRECT($A36&amp;"!A:A"),INDIRECT($A36&amp;"!E:E"),,0,1)</f>
        <v>42.72</v>
      </c>
      <c r="E36" t="str">
        <f t="shared" ca="1" si="0"/>
        <v xml:space="preserve">              -173.5,42.72,0</v>
      </c>
    </row>
    <row r="37" spans="1:5" x14ac:dyDescent="0.35">
      <c r="A37" t="s">
        <v>41</v>
      </c>
      <c r="B37">
        <f>COUNTIFS(A$1:A37,A37)-1</f>
        <v>27</v>
      </c>
      <c r="C37" cm="1">
        <f t="array" aca="1" ref="C37" ca="1">_xlfn.XLOOKUP(B37,INDIRECT(A37&amp;"!A:A"),INDIRECT(A37&amp;"!B:B"),,0,1)</f>
        <v>-173.25</v>
      </c>
      <c r="D37" cm="1">
        <f t="array" aca="1" ref="D37" ca="1">_xlfn.XLOOKUP($B37,INDIRECT($A37&amp;"!A:A"),INDIRECT($A37&amp;"!E:E"),,0,1)</f>
        <v>42.86</v>
      </c>
      <c r="E37" t="str">
        <f t="shared" ca="1" si="0"/>
        <v xml:space="preserve">              -173.25,42.86,0</v>
      </c>
    </row>
    <row r="38" spans="1:5" x14ac:dyDescent="0.35">
      <c r="A38" t="s">
        <v>41</v>
      </c>
      <c r="B38">
        <f>COUNTIFS(A$1:A38,A38)-1</f>
        <v>28</v>
      </c>
      <c r="C38" cm="1">
        <f t="array" aca="1" ref="C38" ca="1">_xlfn.XLOOKUP(B38,INDIRECT(A38&amp;"!A:A"),INDIRECT(A38&amp;"!B:B"),,0,1)</f>
        <v>-173</v>
      </c>
      <c r="D38" cm="1">
        <f t="array" aca="1" ref="D38" ca="1">_xlfn.XLOOKUP($B38,INDIRECT($A38&amp;"!A:A"),INDIRECT($A38&amp;"!E:E"),,0,1)</f>
        <v>43</v>
      </c>
      <c r="E38" t="str">
        <f t="shared" ca="1" si="0"/>
        <v xml:space="preserve">              -173,43,0</v>
      </c>
    </row>
    <row r="39" spans="1:5" x14ac:dyDescent="0.35">
      <c r="A39" t="s">
        <v>41</v>
      </c>
      <c r="B39">
        <f>COUNTIFS(A$1:A39,A39)-1</f>
        <v>29</v>
      </c>
      <c r="C39" cm="1">
        <f t="array" aca="1" ref="C39" ca="1">_xlfn.XLOOKUP(B39,INDIRECT(A39&amp;"!A:A"),INDIRECT(A39&amp;"!B:B"),,0,1)</f>
        <v>-172.75</v>
      </c>
      <c r="D39" cm="1">
        <f t="array" aca="1" ref="D39" ca="1">_xlfn.XLOOKUP($B39,INDIRECT($A39&amp;"!A:A"),INDIRECT($A39&amp;"!E:E"),,0,1)</f>
        <v>43.15</v>
      </c>
      <c r="E39" t="str">
        <f t="shared" ca="1" si="0"/>
        <v xml:space="preserve">              -172.75,43.15,0</v>
      </c>
    </row>
    <row r="40" spans="1:5" x14ac:dyDescent="0.35">
      <c r="A40" t="s">
        <v>41</v>
      </c>
      <c r="B40">
        <f>COUNTIFS(A$1:A40,A40)-1</f>
        <v>30</v>
      </c>
      <c r="C40" cm="1">
        <f t="array" aca="1" ref="C40" ca="1">_xlfn.XLOOKUP(B40,INDIRECT(A40&amp;"!A:A"),INDIRECT(A40&amp;"!B:B"),,0,1)</f>
        <v>-172.5</v>
      </c>
      <c r="D40" cm="1">
        <f t="array" aca="1" ref="D40" ca="1">_xlfn.XLOOKUP($B40,INDIRECT($A40&amp;"!A:A"),INDIRECT($A40&amp;"!E:E"),,0,1)</f>
        <v>43.29</v>
      </c>
      <c r="E40" t="str">
        <f t="shared" ca="1" si="0"/>
        <v xml:space="preserve">              -172.5,43.29,0</v>
      </c>
    </row>
    <row r="41" spans="1:5" x14ac:dyDescent="0.35">
      <c r="A41" t="s">
        <v>41</v>
      </c>
      <c r="B41">
        <f>COUNTIFS(A$1:A41,A41)-1</f>
        <v>31</v>
      </c>
      <c r="C41" cm="1">
        <f t="array" aca="1" ref="C41" ca="1">_xlfn.XLOOKUP(B41,INDIRECT(A41&amp;"!A:A"),INDIRECT(A41&amp;"!B:B"),,0,1)</f>
        <v>-172.25</v>
      </c>
      <c r="D41" cm="1">
        <f t="array" aca="1" ref="D41" ca="1">_xlfn.XLOOKUP($B41,INDIRECT($A41&amp;"!A:A"),INDIRECT($A41&amp;"!E:E"),,0,1)</f>
        <v>43.42</v>
      </c>
      <c r="E41" t="str">
        <f t="shared" ca="1" si="0"/>
        <v xml:space="preserve">              -172.25,43.42,0</v>
      </c>
    </row>
    <row r="42" spans="1:5" x14ac:dyDescent="0.35">
      <c r="A42" t="s">
        <v>41</v>
      </c>
      <c r="B42">
        <f>COUNTIFS(A$1:A42,A42)-1</f>
        <v>32</v>
      </c>
      <c r="C42" cm="1">
        <f t="array" aca="1" ref="C42" ca="1">_xlfn.XLOOKUP(B42,INDIRECT(A42&amp;"!A:A"),INDIRECT(A42&amp;"!B:B"),,0,1)</f>
        <v>-172</v>
      </c>
      <c r="D42" cm="1">
        <f t="array" aca="1" ref="D42" ca="1">_xlfn.XLOOKUP($B42,INDIRECT($A42&amp;"!A:A"),INDIRECT($A42&amp;"!E:E"),,0,1)</f>
        <v>43.56</v>
      </c>
      <c r="E42" t="str">
        <f t="shared" ca="1" si="0"/>
        <v xml:space="preserve">              -172,43.56,0</v>
      </c>
    </row>
    <row r="43" spans="1:5" x14ac:dyDescent="0.35">
      <c r="A43" t="s">
        <v>41</v>
      </c>
      <c r="B43">
        <f>COUNTIFS(A$1:A43,A43)-1</f>
        <v>33</v>
      </c>
      <c r="C43" cm="1">
        <f t="array" aca="1" ref="C43" ca="1">_xlfn.XLOOKUP(B43,INDIRECT(A43&amp;"!A:A"),INDIRECT(A43&amp;"!B:B"),,0,1)</f>
        <v>-171.75</v>
      </c>
      <c r="D43" cm="1">
        <f t="array" aca="1" ref="D43" ca="1">_xlfn.XLOOKUP($B43,INDIRECT($A43&amp;"!A:A"),INDIRECT($A43&amp;"!E:E"),,0,1)</f>
        <v>43.7</v>
      </c>
      <c r="E43" t="str">
        <f t="shared" ca="1" si="0"/>
        <v xml:space="preserve">              -171.75,43.7,0</v>
      </c>
    </row>
    <row r="44" spans="1:5" x14ac:dyDescent="0.35">
      <c r="A44" t="s">
        <v>41</v>
      </c>
      <c r="B44">
        <f>COUNTIFS(A$1:A44,A44)-1</f>
        <v>34</v>
      </c>
      <c r="C44" cm="1">
        <f t="array" aca="1" ref="C44" ca="1">_xlfn.XLOOKUP(B44,INDIRECT(A44&amp;"!A:A"),INDIRECT(A44&amp;"!B:B"),,0,1)</f>
        <v>-171.5</v>
      </c>
      <c r="D44" cm="1">
        <f t="array" aca="1" ref="D44" ca="1">_xlfn.XLOOKUP($B44,INDIRECT($A44&amp;"!A:A"),INDIRECT($A44&amp;"!E:E"),,0,1)</f>
        <v>43.84</v>
      </c>
      <c r="E44" t="str">
        <f t="shared" ca="1" si="0"/>
        <v xml:space="preserve">              -171.5,43.84,0</v>
      </c>
    </row>
    <row r="45" spans="1:5" x14ac:dyDescent="0.35">
      <c r="A45" t="s">
        <v>41</v>
      </c>
      <c r="B45">
        <f>COUNTIFS(A$1:A45,A45)-1</f>
        <v>35</v>
      </c>
      <c r="C45" cm="1">
        <f t="array" aca="1" ref="C45" ca="1">_xlfn.XLOOKUP(B45,INDIRECT(A45&amp;"!A:A"),INDIRECT(A45&amp;"!B:B"),,0,1)</f>
        <v>-171.25</v>
      </c>
      <c r="D45" cm="1">
        <f t="array" aca="1" ref="D45" ca="1">_xlfn.XLOOKUP($B45,INDIRECT($A45&amp;"!A:A"),INDIRECT($A45&amp;"!E:E"),,0,1)</f>
        <v>43.97</v>
      </c>
      <c r="E45" t="str">
        <f t="shared" ca="1" si="0"/>
        <v xml:space="preserve">              -171.25,43.97,0</v>
      </c>
    </row>
    <row r="46" spans="1:5" x14ac:dyDescent="0.35">
      <c r="A46" t="s">
        <v>41</v>
      </c>
      <c r="B46">
        <f>COUNTIFS(A$1:A46,A46)-1</f>
        <v>36</v>
      </c>
      <c r="C46" cm="1">
        <f t="array" aca="1" ref="C46" ca="1">_xlfn.XLOOKUP(B46,INDIRECT(A46&amp;"!A:A"),INDIRECT(A46&amp;"!B:B"),,0,1)</f>
        <v>-171</v>
      </c>
      <c r="D46" cm="1">
        <f t="array" aca="1" ref="D46" ca="1">_xlfn.XLOOKUP($B46,INDIRECT($A46&amp;"!A:A"),INDIRECT($A46&amp;"!E:E"),,0,1)</f>
        <v>44.1</v>
      </c>
      <c r="E46" t="str">
        <f t="shared" ca="1" si="0"/>
        <v xml:space="preserve">              -171,44.1,0</v>
      </c>
    </row>
    <row r="47" spans="1:5" x14ac:dyDescent="0.35">
      <c r="A47" t="s">
        <v>41</v>
      </c>
      <c r="B47">
        <f>COUNTIFS(A$1:A47,A47)-1</f>
        <v>37</v>
      </c>
      <c r="C47" cm="1">
        <f t="array" aca="1" ref="C47" ca="1">_xlfn.XLOOKUP(B47,INDIRECT(A47&amp;"!A:A"),INDIRECT(A47&amp;"!B:B"),,0,1)</f>
        <v>-170.75</v>
      </c>
      <c r="D47" cm="1">
        <f t="array" aca="1" ref="D47" ca="1">_xlfn.XLOOKUP($B47,INDIRECT($A47&amp;"!A:A"),INDIRECT($A47&amp;"!E:E"),,0,1)</f>
        <v>44.24</v>
      </c>
      <c r="E47" t="str">
        <f t="shared" ca="1" si="0"/>
        <v xml:space="preserve">              -170.75,44.24,0</v>
      </c>
    </row>
    <row r="48" spans="1:5" x14ac:dyDescent="0.35">
      <c r="A48" t="s">
        <v>41</v>
      </c>
      <c r="B48">
        <f>COUNTIFS(A$1:A48,A48)-1</f>
        <v>38</v>
      </c>
      <c r="C48" cm="1">
        <f t="array" aca="1" ref="C48" ca="1">_xlfn.XLOOKUP(B48,INDIRECT(A48&amp;"!A:A"),INDIRECT(A48&amp;"!B:B"),,0,1)</f>
        <v>-170.5</v>
      </c>
      <c r="D48" cm="1">
        <f t="array" aca="1" ref="D48" ca="1">_xlfn.XLOOKUP($B48,INDIRECT($A48&amp;"!A:A"),INDIRECT($A48&amp;"!E:E"),,0,1)</f>
        <v>44.37</v>
      </c>
      <c r="E48" t="str">
        <f t="shared" ca="1" si="0"/>
        <v xml:space="preserve">              -170.5,44.37,0</v>
      </c>
    </row>
    <row r="49" spans="1:5" x14ac:dyDescent="0.35">
      <c r="A49" t="s">
        <v>41</v>
      </c>
      <c r="B49">
        <f>COUNTIFS(A$1:A49,A49)-1</f>
        <v>39</v>
      </c>
      <c r="C49" cm="1">
        <f t="array" aca="1" ref="C49" ca="1">_xlfn.XLOOKUP(B49,INDIRECT(A49&amp;"!A:A"),INDIRECT(A49&amp;"!B:B"),,0,1)</f>
        <v>-170.25</v>
      </c>
      <c r="D49" cm="1">
        <f t="array" aca="1" ref="D49" ca="1">_xlfn.XLOOKUP($B49,INDIRECT($A49&amp;"!A:A"),INDIRECT($A49&amp;"!E:E"),,0,1)</f>
        <v>44.5</v>
      </c>
      <c r="E49" t="str">
        <f t="shared" ca="1" si="0"/>
        <v xml:space="preserve">              -170.25,44.5,0</v>
      </c>
    </row>
    <row r="50" spans="1:5" x14ac:dyDescent="0.35">
      <c r="A50" t="s">
        <v>41</v>
      </c>
      <c r="B50">
        <f>COUNTIFS(A$1:A50,A50)-1</f>
        <v>40</v>
      </c>
      <c r="C50" cm="1">
        <f t="array" aca="1" ref="C50" ca="1">_xlfn.XLOOKUP(B50,INDIRECT(A50&amp;"!A:A"),INDIRECT(A50&amp;"!B:B"),,0,1)</f>
        <v>-170</v>
      </c>
      <c r="D50" cm="1">
        <f t="array" aca="1" ref="D50" ca="1">_xlfn.XLOOKUP($B50,INDIRECT($A50&amp;"!A:A"),INDIRECT($A50&amp;"!E:E"),,0,1)</f>
        <v>44.63</v>
      </c>
      <c r="E50" t="str">
        <f t="shared" ca="1" si="0"/>
        <v xml:space="preserve">              -170,44.63,0</v>
      </c>
    </row>
    <row r="51" spans="1:5" x14ac:dyDescent="0.35">
      <c r="A51" t="s">
        <v>41</v>
      </c>
      <c r="B51">
        <f>COUNTIFS(A$1:A51,A51)-1</f>
        <v>41</v>
      </c>
      <c r="C51" cm="1">
        <f t="array" aca="1" ref="C51" ca="1">_xlfn.XLOOKUP(B51,INDIRECT(A51&amp;"!A:A"),INDIRECT(A51&amp;"!B:B"),,0,1)</f>
        <v>-169.75</v>
      </c>
      <c r="D51" cm="1">
        <f t="array" aca="1" ref="D51" ca="1">_xlfn.XLOOKUP($B51,INDIRECT($A51&amp;"!A:A"),INDIRECT($A51&amp;"!E:E"),,0,1)</f>
        <v>44.75</v>
      </c>
      <c r="E51" t="str">
        <f t="shared" ca="1" si="0"/>
        <v xml:space="preserve">              -169.75,44.75,0</v>
      </c>
    </row>
    <row r="52" spans="1:5" x14ac:dyDescent="0.35">
      <c r="A52" t="s">
        <v>41</v>
      </c>
      <c r="B52">
        <f>COUNTIFS(A$1:A52,A52)-1</f>
        <v>42</v>
      </c>
      <c r="C52" cm="1">
        <f t="array" aca="1" ref="C52" ca="1">_xlfn.XLOOKUP(B52,INDIRECT(A52&amp;"!A:A"),INDIRECT(A52&amp;"!B:B"),,0,1)</f>
        <v>-169.5</v>
      </c>
      <c r="D52" cm="1">
        <f t="array" aca="1" ref="D52" ca="1">_xlfn.XLOOKUP($B52,INDIRECT($A52&amp;"!A:A"),INDIRECT($A52&amp;"!E:E"),,0,1)</f>
        <v>44.88</v>
      </c>
      <c r="E52" t="str">
        <f t="shared" ca="1" si="0"/>
        <v xml:space="preserve">              -169.5,44.88,0</v>
      </c>
    </row>
    <row r="53" spans="1:5" x14ac:dyDescent="0.35">
      <c r="A53" t="s">
        <v>41</v>
      </c>
      <c r="B53">
        <f>COUNTIFS(A$1:A53,A53)-1</f>
        <v>43</v>
      </c>
      <c r="C53" cm="1">
        <f t="array" aca="1" ref="C53" ca="1">_xlfn.XLOOKUP(B53,INDIRECT(A53&amp;"!A:A"),INDIRECT(A53&amp;"!B:B"),,0,1)</f>
        <v>-169.25</v>
      </c>
      <c r="D53" cm="1">
        <f t="array" aca="1" ref="D53" ca="1">_xlfn.XLOOKUP($B53,INDIRECT($A53&amp;"!A:A"),INDIRECT($A53&amp;"!E:E"),,0,1)</f>
        <v>45.01</v>
      </c>
      <c r="E53" t="str">
        <f t="shared" ca="1" si="0"/>
        <v xml:space="preserve">              -169.25,45.01,0</v>
      </c>
    </row>
    <row r="54" spans="1:5" x14ac:dyDescent="0.35">
      <c r="A54" t="s">
        <v>41</v>
      </c>
      <c r="B54">
        <f>COUNTIFS(A$1:A54,A54)-1</f>
        <v>44</v>
      </c>
      <c r="C54" cm="1">
        <f t="array" aca="1" ref="C54" ca="1">_xlfn.XLOOKUP(B54,INDIRECT(A54&amp;"!A:A"),INDIRECT(A54&amp;"!B:B"),,0,1)</f>
        <v>-169</v>
      </c>
      <c r="D54" cm="1">
        <f t="array" aca="1" ref="D54" ca="1">_xlfn.XLOOKUP($B54,INDIRECT($A54&amp;"!A:A"),INDIRECT($A54&amp;"!E:E"),,0,1)</f>
        <v>45.13</v>
      </c>
      <c r="E54" t="str">
        <f t="shared" ca="1" si="0"/>
        <v xml:space="preserve">              -169,45.13,0</v>
      </c>
    </row>
    <row r="55" spans="1:5" x14ac:dyDescent="0.35">
      <c r="A55" t="s">
        <v>41</v>
      </c>
      <c r="B55">
        <f>COUNTIFS(A$1:A55,A55)-1</f>
        <v>45</v>
      </c>
      <c r="C55" cm="1">
        <f t="array" aca="1" ref="C55" ca="1">_xlfn.XLOOKUP(B55,INDIRECT(A55&amp;"!A:A"),INDIRECT(A55&amp;"!B:B"),,0,1)</f>
        <v>-168.75</v>
      </c>
      <c r="D55" cm="1">
        <f t="array" aca="1" ref="D55" ca="1">_xlfn.XLOOKUP($B55,INDIRECT($A55&amp;"!A:A"),INDIRECT($A55&amp;"!E:E"),,0,1)</f>
        <v>45.25</v>
      </c>
      <c r="E55" t="str">
        <f t="shared" ca="1" si="0"/>
        <v xml:space="preserve">              -168.75,45.25,0</v>
      </c>
    </row>
    <row r="56" spans="1:5" x14ac:dyDescent="0.35">
      <c r="A56" t="s">
        <v>41</v>
      </c>
      <c r="B56">
        <f>COUNTIFS(A$1:A56,A56)-1</f>
        <v>46</v>
      </c>
      <c r="C56" cm="1">
        <f t="array" aca="1" ref="C56" ca="1">_xlfn.XLOOKUP(B56,INDIRECT(A56&amp;"!A:A"),INDIRECT(A56&amp;"!B:B"),,0,1)</f>
        <v>-168.5</v>
      </c>
      <c r="D56" cm="1">
        <f t="array" aca="1" ref="D56" ca="1">_xlfn.XLOOKUP($B56,INDIRECT($A56&amp;"!A:A"),INDIRECT($A56&amp;"!E:E"),,0,1)</f>
        <v>45.38</v>
      </c>
      <c r="E56" t="str">
        <f t="shared" ca="1" si="0"/>
        <v xml:space="preserve">              -168.5,45.38,0</v>
      </c>
    </row>
    <row r="57" spans="1:5" x14ac:dyDescent="0.35">
      <c r="A57" t="s">
        <v>41</v>
      </c>
      <c r="B57">
        <f>COUNTIFS(A$1:A57,A57)-1</f>
        <v>47</v>
      </c>
      <c r="C57" cm="1">
        <f t="array" aca="1" ref="C57" ca="1">_xlfn.XLOOKUP(B57,INDIRECT(A57&amp;"!A:A"),INDIRECT(A57&amp;"!B:B"),,0,1)</f>
        <v>-168.25</v>
      </c>
      <c r="D57" cm="1">
        <f t="array" aca="1" ref="D57" ca="1">_xlfn.XLOOKUP($B57,INDIRECT($A57&amp;"!A:A"),INDIRECT($A57&amp;"!E:E"),,0,1)</f>
        <v>45.5</v>
      </c>
      <c r="E57" t="str">
        <f t="shared" ca="1" si="0"/>
        <v xml:space="preserve">              -168.25,45.5,0</v>
      </c>
    </row>
    <row r="58" spans="1:5" x14ac:dyDescent="0.35">
      <c r="A58" t="s">
        <v>41</v>
      </c>
      <c r="B58">
        <f>COUNTIFS(A$1:A58,A58)-1</f>
        <v>48</v>
      </c>
      <c r="C58" cm="1">
        <f t="array" aca="1" ref="C58" ca="1">_xlfn.XLOOKUP(B58,INDIRECT(A58&amp;"!A:A"),INDIRECT(A58&amp;"!B:B"),,0,1)</f>
        <v>-168</v>
      </c>
      <c r="D58" cm="1">
        <f t="array" aca="1" ref="D58" ca="1">_xlfn.XLOOKUP($B58,INDIRECT($A58&amp;"!A:A"),INDIRECT($A58&amp;"!E:E"),,0,1)</f>
        <v>45.62</v>
      </c>
      <c r="E58" t="str">
        <f t="shared" ca="1" si="0"/>
        <v xml:space="preserve">              -168,45.62,0</v>
      </c>
    </row>
    <row r="59" spans="1:5" x14ac:dyDescent="0.35">
      <c r="A59" t="s">
        <v>41</v>
      </c>
      <c r="B59">
        <f>COUNTIFS(A$1:A59,A59)-1</f>
        <v>49</v>
      </c>
      <c r="C59" cm="1">
        <f t="array" aca="1" ref="C59" ca="1">_xlfn.XLOOKUP(B59,INDIRECT(A59&amp;"!A:A"),INDIRECT(A59&amp;"!B:B"),,0,1)</f>
        <v>-167.75</v>
      </c>
      <c r="D59" cm="1">
        <f t="array" aca="1" ref="D59" ca="1">_xlfn.XLOOKUP($B59,INDIRECT($A59&amp;"!A:A"),INDIRECT($A59&amp;"!E:E"),,0,1)</f>
        <v>45.74</v>
      </c>
      <c r="E59" t="str">
        <f t="shared" ca="1" si="0"/>
        <v xml:space="preserve">              -167.75,45.74,0</v>
      </c>
    </row>
    <row r="60" spans="1:5" x14ac:dyDescent="0.35">
      <c r="A60" t="s">
        <v>41</v>
      </c>
      <c r="B60">
        <f>COUNTIFS(A$1:A60,A60)-1</f>
        <v>50</v>
      </c>
      <c r="C60" cm="1">
        <f t="array" aca="1" ref="C60" ca="1">_xlfn.XLOOKUP(B60,INDIRECT(A60&amp;"!A:A"),INDIRECT(A60&amp;"!B:B"),,0,1)</f>
        <v>-167.5</v>
      </c>
      <c r="D60" cm="1">
        <f t="array" aca="1" ref="D60" ca="1">_xlfn.XLOOKUP($B60,INDIRECT($A60&amp;"!A:A"),INDIRECT($A60&amp;"!E:E"),,0,1)</f>
        <v>45.85</v>
      </c>
      <c r="E60" t="str">
        <f t="shared" ca="1" si="0"/>
        <v xml:space="preserve">              -167.5,45.85,0</v>
      </c>
    </row>
    <row r="61" spans="1:5" x14ac:dyDescent="0.35">
      <c r="A61" t="s">
        <v>41</v>
      </c>
      <c r="B61">
        <f>COUNTIFS(A$1:A61,A61)-1</f>
        <v>51</v>
      </c>
      <c r="C61" cm="1">
        <f t="array" aca="1" ref="C61" ca="1">_xlfn.XLOOKUP(B61,INDIRECT(A61&amp;"!A:A"),INDIRECT(A61&amp;"!B:B"),,0,1)</f>
        <v>-167.25</v>
      </c>
      <c r="D61" cm="1">
        <f t="array" aca="1" ref="D61" ca="1">_xlfn.XLOOKUP($B61,INDIRECT($A61&amp;"!A:A"),INDIRECT($A61&amp;"!E:E"),,0,1)</f>
        <v>45.97</v>
      </c>
      <c r="E61" t="str">
        <f t="shared" ca="1" si="0"/>
        <v xml:space="preserve">              -167.25,45.97,0</v>
      </c>
    </row>
    <row r="62" spans="1:5" x14ac:dyDescent="0.35">
      <c r="A62" t="s">
        <v>41</v>
      </c>
      <c r="B62">
        <f>COUNTIFS(A$1:A62,A62)-1</f>
        <v>52</v>
      </c>
      <c r="C62" cm="1">
        <f t="array" aca="1" ref="C62" ca="1">_xlfn.XLOOKUP(B62,INDIRECT(A62&amp;"!A:A"),INDIRECT(A62&amp;"!B:B"),,0,1)</f>
        <v>-167</v>
      </c>
      <c r="D62" cm="1">
        <f t="array" aca="1" ref="D62" ca="1">_xlfn.XLOOKUP($B62,INDIRECT($A62&amp;"!A:A"),INDIRECT($A62&amp;"!E:E"),,0,1)</f>
        <v>46.09</v>
      </c>
      <c r="E62" t="str">
        <f t="shared" ca="1" si="0"/>
        <v xml:space="preserve">              -167,46.09,0</v>
      </c>
    </row>
    <row r="63" spans="1:5" x14ac:dyDescent="0.35">
      <c r="A63" t="s">
        <v>41</v>
      </c>
      <c r="B63">
        <f>COUNTIFS(A$1:A63,A63)-1</f>
        <v>53</v>
      </c>
      <c r="C63" cm="1">
        <f t="array" aca="1" ref="C63" ca="1">_xlfn.XLOOKUP(B63,INDIRECT(A63&amp;"!A:A"),INDIRECT(A63&amp;"!B:B"),,0,1)</f>
        <v>-166.75</v>
      </c>
      <c r="D63" cm="1">
        <f t="array" aca="1" ref="D63" ca="1">_xlfn.XLOOKUP($B63,INDIRECT($A63&amp;"!A:A"),INDIRECT($A63&amp;"!E:E"),,0,1)</f>
        <v>46.2</v>
      </c>
      <c r="E63" t="str">
        <f t="shared" ca="1" si="0"/>
        <v xml:space="preserve">              -166.75,46.2,0</v>
      </c>
    </row>
    <row r="64" spans="1:5" x14ac:dyDescent="0.35">
      <c r="A64" t="s">
        <v>41</v>
      </c>
      <c r="B64">
        <f>COUNTIFS(A$1:A64,A64)-1</f>
        <v>54</v>
      </c>
      <c r="C64" cm="1">
        <f t="array" aca="1" ref="C64" ca="1">_xlfn.XLOOKUP(B64,INDIRECT(A64&amp;"!A:A"),INDIRECT(A64&amp;"!B:B"),,0,1)</f>
        <v>-166.5</v>
      </c>
      <c r="D64" cm="1">
        <f t="array" aca="1" ref="D64" ca="1">_xlfn.XLOOKUP($B64,INDIRECT($A64&amp;"!A:A"),INDIRECT($A64&amp;"!E:E"),,0,1)</f>
        <v>46.32</v>
      </c>
      <c r="E64" t="str">
        <f t="shared" ca="1" si="0"/>
        <v xml:space="preserve">              -166.5,46.32,0</v>
      </c>
    </row>
    <row r="65" spans="1:5" x14ac:dyDescent="0.35">
      <c r="A65" t="s">
        <v>41</v>
      </c>
      <c r="B65">
        <f>COUNTIFS(A$1:A65,A65)-1</f>
        <v>55</v>
      </c>
      <c r="C65" cm="1">
        <f t="array" aca="1" ref="C65" ca="1">_xlfn.XLOOKUP(B65,INDIRECT(A65&amp;"!A:A"),INDIRECT(A65&amp;"!B:B"),,0,1)</f>
        <v>-166.25</v>
      </c>
      <c r="D65" cm="1">
        <f t="array" aca="1" ref="D65" ca="1">_xlfn.XLOOKUP($B65,INDIRECT($A65&amp;"!A:A"),INDIRECT($A65&amp;"!E:E"),,0,1)</f>
        <v>46.43</v>
      </c>
      <c r="E65" t="str">
        <f t="shared" ca="1" si="0"/>
        <v xml:space="preserve">              -166.25,46.43,0</v>
      </c>
    </row>
    <row r="66" spans="1:5" x14ac:dyDescent="0.35">
      <c r="A66" t="s">
        <v>41</v>
      </c>
      <c r="B66">
        <f>COUNTIFS(A$1:A66,A66)-1</f>
        <v>56</v>
      </c>
      <c r="C66" cm="1">
        <f t="array" aca="1" ref="C66" ca="1">_xlfn.XLOOKUP(B66,INDIRECT(A66&amp;"!A:A"),INDIRECT(A66&amp;"!B:B"),,0,1)</f>
        <v>-166</v>
      </c>
      <c r="D66" cm="1">
        <f t="array" aca="1" ref="D66" ca="1">_xlfn.XLOOKUP($B66,INDIRECT($A66&amp;"!A:A"),INDIRECT($A66&amp;"!E:E"),,0,1)</f>
        <v>46.54</v>
      </c>
      <c r="E66" t="str">
        <f t="shared" ca="1" si="0"/>
        <v xml:space="preserve">              -166,46.54,0</v>
      </c>
    </row>
    <row r="67" spans="1:5" x14ac:dyDescent="0.35">
      <c r="A67" t="s">
        <v>41</v>
      </c>
      <c r="B67">
        <f>COUNTIFS(A$1:A67,A67)-1</f>
        <v>57</v>
      </c>
      <c r="C67" cm="1">
        <f t="array" aca="1" ref="C67" ca="1">_xlfn.XLOOKUP(B67,INDIRECT(A67&amp;"!A:A"),INDIRECT(A67&amp;"!B:B"),,0,1)</f>
        <v>-165.75</v>
      </c>
      <c r="D67" cm="1">
        <f t="array" aca="1" ref="D67" ca="1">_xlfn.XLOOKUP($B67,INDIRECT($A67&amp;"!A:A"),INDIRECT($A67&amp;"!E:E"),,0,1)</f>
        <v>46.65</v>
      </c>
      <c r="E67" t="str">
        <f t="shared" ca="1" si="0"/>
        <v xml:space="preserve">              -165.75,46.65,0</v>
      </c>
    </row>
    <row r="68" spans="1:5" x14ac:dyDescent="0.35">
      <c r="A68" t="s">
        <v>41</v>
      </c>
      <c r="B68">
        <f>COUNTIFS(A$1:A68,A68)-1</f>
        <v>58</v>
      </c>
      <c r="C68" cm="1">
        <f t="array" aca="1" ref="C68" ca="1">_xlfn.XLOOKUP(B68,INDIRECT(A68&amp;"!A:A"),INDIRECT(A68&amp;"!B:B"),,0,1)</f>
        <v>-165.5</v>
      </c>
      <c r="D68" cm="1">
        <f t="array" aca="1" ref="D68" ca="1">_xlfn.XLOOKUP($B68,INDIRECT($A68&amp;"!A:A"),INDIRECT($A68&amp;"!E:E"),,0,1)</f>
        <v>46.76</v>
      </c>
      <c r="E68" t="str">
        <f t="shared" ca="1" si="0"/>
        <v xml:space="preserve">              -165.5,46.76,0</v>
      </c>
    </row>
    <row r="69" spans="1:5" x14ac:dyDescent="0.35">
      <c r="A69" t="s">
        <v>41</v>
      </c>
      <c r="B69">
        <f>COUNTIFS(A$1:A69,A69)-1</f>
        <v>59</v>
      </c>
      <c r="C69" cm="1">
        <f t="array" aca="1" ref="C69" ca="1">_xlfn.XLOOKUP(B69,INDIRECT(A69&amp;"!A:A"),INDIRECT(A69&amp;"!B:B"),,0,1)</f>
        <v>-165.25</v>
      </c>
      <c r="D69" cm="1">
        <f t="array" aca="1" ref="D69" ca="1">_xlfn.XLOOKUP($B69,INDIRECT($A69&amp;"!A:A"),INDIRECT($A69&amp;"!E:E"),,0,1)</f>
        <v>46.87</v>
      </c>
      <c r="E69" t="str">
        <f t="shared" ca="1" si="0"/>
        <v xml:space="preserve">              -165.25,46.87,0</v>
      </c>
    </row>
    <row r="70" spans="1:5" x14ac:dyDescent="0.35">
      <c r="A70" t="s">
        <v>41</v>
      </c>
      <c r="B70">
        <f>COUNTIFS(A$1:A70,A70)-1</f>
        <v>60</v>
      </c>
      <c r="C70" cm="1">
        <f t="array" aca="1" ref="C70" ca="1">_xlfn.XLOOKUP(B70,INDIRECT(A70&amp;"!A:A"),INDIRECT(A70&amp;"!B:B"),,0,1)</f>
        <v>-165</v>
      </c>
      <c r="D70" cm="1">
        <f t="array" aca="1" ref="D70" ca="1">_xlfn.XLOOKUP($B70,INDIRECT($A70&amp;"!A:A"),INDIRECT($A70&amp;"!E:E"),,0,1)</f>
        <v>46.98</v>
      </c>
      <c r="E70" t="str">
        <f t="shared" ca="1" si="0"/>
        <v xml:space="preserve">              -165,46.98,0</v>
      </c>
    </row>
    <row r="71" spans="1:5" x14ac:dyDescent="0.35">
      <c r="A71" t="s">
        <v>41</v>
      </c>
      <c r="B71">
        <f>COUNTIFS(A$1:A71,A71)-1</f>
        <v>61</v>
      </c>
      <c r="C71" cm="1">
        <f t="array" aca="1" ref="C71" ca="1">_xlfn.XLOOKUP(B71,INDIRECT(A71&amp;"!A:A"),INDIRECT(A71&amp;"!B:B"),,0,1)</f>
        <v>-164.75</v>
      </c>
      <c r="D71" cm="1">
        <f t="array" aca="1" ref="D71" ca="1">_xlfn.XLOOKUP($B71,INDIRECT($A71&amp;"!A:A"),INDIRECT($A71&amp;"!E:E"),,0,1)</f>
        <v>47.09</v>
      </c>
      <c r="E71" t="str">
        <f t="shared" ca="1" si="0"/>
        <v xml:space="preserve">              -164.75,47.09,0</v>
      </c>
    </row>
    <row r="72" spans="1:5" x14ac:dyDescent="0.35">
      <c r="A72" t="s">
        <v>41</v>
      </c>
      <c r="B72">
        <f>COUNTIFS(A$1:A72,A72)-1</f>
        <v>62</v>
      </c>
      <c r="C72" cm="1">
        <f t="array" aca="1" ref="C72" ca="1">_xlfn.XLOOKUP(B72,INDIRECT(A72&amp;"!A:A"),INDIRECT(A72&amp;"!B:B"),,0,1)</f>
        <v>-164.5</v>
      </c>
      <c r="D72" cm="1">
        <f t="array" aca="1" ref="D72" ca="1">_xlfn.XLOOKUP($B72,INDIRECT($A72&amp;"!A:A"),INDIRECT($A72&amp;"!E:E"),,0,1)</f>
        <v>47.19</v>
      </c>
      <c r="E72" t="str">
        <f t="shared" ca="1" si="0"/>
        <v xml:space="preserve">              -164.5,47.19,0</v>
      </c>
    </row>
    <row r="73" spans="1:5" x14ac:dyDescent="0.35">
      <c r="A73" t="s">
        <v>41</v>
      </c>
      <c r="B73">
        <f>COUNTIFS(A$1:A73,A73)-1</f>
        <v>63</v>
      </c>
      <c r="C73" cm="1">
        <f t="array" aca="1" ref="C73" ca="1">_xlfn.XLOOKUP(B73,INDIRECT(A73&amp;"!A:A"),INDIRECT(A73&amp;"!B:B"),,0,1)</f>
        <v>-164.25</v>
      </c>
      <c r="D73" cm="1">
        <f t="array" aca="1" ref="D73" ca="1">_xlfn.XLOOKUP($B73,INDIRECT($A73&amp;"!A:A"),INDIRECT($A73&amp;"!E:E"),,0,1)</f>
        <v>47.3</v>
      </c>
      <c r="E73" t="str">
        <f t="shared" ca="1" si="0"/>
        <v xml:space="preserve">              -164.25,47.3,0</v>
      </c>
    </row>
    <row r="74" spans="1:5" x14ac:dyDescent="0.35">
      <c r="A74" t="s">
        <v>41</v>
      </c>
      <c r="B74">
        <f>COUNTIFS(A$1:A74,A74)-1</f>
        <v>64</v>
      </c>
      <c r="C74" cm="1">
        <f t="array" aca="1" ref="C74" ca="1">_xlfn.XLOOKUP(B74,INDIRECT(A74&amp;"!A:A"),INDIRECT(A74&amp;"!B:B"),,0,1)</f>
        <v>-164</v>
      </c>
      <c r="D74" cm="1">
        <f t="array" aca="1" ref="D74" ca="1">_xlfn.XLOOKUP($B74,INDIRECT($A74&amp;"!A:A"),INDIRECT($A74&amp;"!E:E"),,0,1)</f>
        <v>47.4</v>
      </c>
      <c r="E74" t="str">
        <f t="shared" ca="1" si="0"/>
        <v xml:space="preserve">              -164,47.4,0</v>
      </c>
    </row>
    <row r="75" spans="1:5" x14ac:dyDescent="0.35">
      <c r="A75" t="s">
        <v>41</v>
      </c>
      <c r="B75">
        <f>COUNTIFS(A$1:A75,A75)-1</f>
        <v>65</v>
      </c>
      <c r="C75" cm="1">
        <f t="array" aca="1" ref="C75" ca="1">_xlfn.XLOOKUP(B75,INDIRECT(A75&amp;"!A:A"),INDIRECT(A75&amp;"!B:B"),,0,1)</f>
        <v>-163.75</v>
      </c>
      <c r="D75" cm="1">
        <f t="array" aca="1" ref="D75" ca="1">_xlfn.XLOOKUP($B75,INDIRECT($A75&amp;"!A:A"),INDIRECT($A75&amp;"!E:E"),,0,1)</f>
        <v>47.5</v>
      </c>
      <c r="E75" t="str">
        <f t="shared" ref="E75:E137" ca="1" si="1">"              "&amp;C75&amp;","&amp;D75&amp;",0"</f>
        <v xml:space="preserve">              -163.75,47.5,0</v>
      </c>
    </row>
    <row r="76" spans="1:5" x14ac:dyDescent="0.35">
      <c r="A76" t="s">
        <v>41</v>
      </c>
      <c r="B76">
        <f>COUNTIFS(A$1:A76,A76)-1</f>
        <v>66</v>
      </c>
      <c r="C76" cm="1">
        <f t="array" aca="1" ref="C76" ca="1">_xlfn.XLOOKUP(B76,INDIRECT(A76&amp;"!A:A"),INDIRECT(A76&amp;"!B:B"),,0,1)</f>
        <v>-163.5</v>
      </c>
      <c r="D76" cm="1">
        <f t="array" aca="1" ref="D76" ca="1">_xlfn.XLOOKUP($B76,INDIRECT($A76&amp;"!A:A"),INDIRECT($A76&amp;"!E:E"),,0,1)</f>
        <v>47.61</v>
      </c>
      <c r="E76" t="str">
        <f t="shared" ca="1" si="1"/>
        <v xml:space="preserve">              -163.5,47.61,0</v>
      </c>
    </row>
    <row r="77" spans="1:5" x14ac:dyDescent="0.35">
      <c r="A77" t="s">
        <v>41</v>
      </c>
      <c r="B77">
        <f>COUNTIFS(A$1:A77,A77)-1</f>
        <v>67</v>
      </c>
      <c r="C77" cm="1">
        <f t="array" aca="1" ref="C77" ca="1">_xlfn.XLOOKUP(B77,INDIRECT(A77&amp;"!A:A"),INDIRECT(A77&amp;"!B:B"),,0,1)</f>
        <v>-163.25</v>
      </c>
      <c r="D77" cm="1">
        <f t="array" aca="1" ref="D77" ca="1">_xlfn.XLOOKUP($B77,INDIRECT($A77&amp;"!A:A"),INDIRECT($A77&amp;"!E:E"),,0,1)</f>
        <v>47.71</v>
      </c>
      <c r="E77" t="str">
        <f t="shared" ca="1" si="1"/>
        <v xml:space="preserve">              -163.25,47.71,0</v>
      </c>
    </row>
    <row r="78" spans="1:5" x14ac:dyDescent="0.35">
      <c r="A78" t="s">
        <v>41</v>
      </c>
      <c r="B78">
        <f>COUNTIFS(A$1:A78,A78)-1</f>
        <v>68</v>
      </c>
      <c r="C78" cm="1">
        <f t="array" aca="1" ref="C78" ca="1">_xlfn.XLOOKUP(B78,INDIRECT(A78&amp;"!A:A"),INDIRECT(A78&amp;"!B:B"),,0,1)</f>
        <v>-163</v>
      </c>
      <c r="D78" cm="1">
        <f t="array" aca="1" ref="D78" ca="1">_xlfn.XLOOKUP($B78,INDIRECT($A78&amp;"!A:A"),INDIRECT($A78&amp;"!E:E"),,0,1)</f>
        <v>47.81</v>
      </c>
      <c r="E78" t="str">
        <f t="shared" ca="1" si="1"/>
        <v xml:space="preserve">              -163,47.81,0</v>
      </c>
    </row>
    <row r="79" spans="1:5" x14ac:dyDescent="0.35">
      <c r="A79" t="s">
        <v>41</v>
      </c>
      <c r="B79">
        <f>COUNTIFS(A$1:A79,A79)-1</f>
        <v>69</v>
      </c>
      <c r="C79" cm="1">
        <f t="array" aca="1" ref="C79" ca="1">_xlfn.XLOOKUP(B79,INDIRECT(A79&amp;"!A:A"),INDIRECT(A79&amp;"!B:B"),,0,1)</f>
        <v>-162.75</v>
      </c>
      <c r="D79" cm="1">
        <f t="array" aca="1" ref="D79" ca="1">_xlfn.XLOOKUP($B79,INDIRECT($A79&amp;"!A:A"),INDIRECT($A79&amp;"!E:E"),,0,1)</f>
        <v>47.91</v>
      </c>
      <c r="E79" t="str">
        <f t="shared" ca="1" si="1"/>
        <v xml:space="preserve">              -162.75,47.91,0</v>
      </c>
    </row>
    <row r="80" spans="1:5" x14ac:dyDescent="0.35">
      <c r="A80" t="s">
        <v>41</v>
      </c>
      <c r="B80">
        <f>COUNTIFS(A$1:A80,A80)-1</f>
        <v>70</v>
      </c>
      <c r="C80" cm="1">
        <f t="array" aca="1" ref="C80" ca="1">_xlfn.XLOOKUP(B80,INDIRECT(A80&amp;"!A:A"),INDIRECT(A80&amp;"!B:B"),,0,1)</f>
        <v>-162.5</v>
      </c>
      <c r="D80" cm="1">
        <f t="array" aca="1" ref="D80" ca="1">_xlfn.XLOOKUP($B80,INDIRECT($A80&amp;"!A:A"),INDIRECT($A80&amp;"!E:E"),,0,1)</f>
        <v>48.01</v>
      </c>
      <c r="E80" t="str">
        <f t="shared" ca="1" si="1"/>
        <v xml:space="preserve">              -162.5,48.01,0</v>
      </c>
    </row>
    <row r="81" spans="1:5" x14ac:dyDescent="0.35">
      <c r="A81" t="s">
        <v>41</v>
      </c>
      <c r="B81">
        <f>COUNTIFS(A$1:A81,A81)-1</f>
        <v>71</v>
      </c>
      <c r="C81" cm="1">
        <f t="array" aca="1" ref="C81" ca="1">_xlfn.XLOOKUP(B81,INDIRECT(A81&amp;"!A:A"),INDIRECT(A81&amp;"!B:B"),,0,1)</f>
        <v>-162.25</v>
      </c>
      <c r="D81" cm="1">
        <f t="array" aca="1" ref="D81" ca="1">_xlfn.XLOOKUP($B81,INDIRECT($A81&amp;"!A:A"),INDIRECT($A81&amp;"!E:E"),,0,1)</f>
        <v>48.1</v>
      </c>
      <c r="E81" t="str">
        <f t="shared" ca="1" si="1"/>
        <v xml:space="preserve">              -162.25,48.1,0</v>
      </c>
    </row>
    <row r="82" spans="1:5" x14ac:dyDescent="0.35">
      <c r="A82" t="s">
        <v>42</v>
      </c>
      <c r="B82">
        <f>COUNTIFS(A$1:A82,A82)-1</f>
        <v>0</v>
      </c>
      <c r="C82" cm="1">
        <f t="array" aca="1" ref="C82" ca="1">_xlfn.XLOOKUP(B82,INDIRECT(A82&amp;"!A:A"),INDIRECT(A82&amp;"!B:B"),,0,1)</f>
        <v>-162</v>
      </c>
      <c r="D82" cm="1">
        <f t="array" aca="1" ref="D82" ca="1">_xlfn.XLOOKUP($B82,INDIRECT($A82&amp;"!A:A"),INDIRECT($A82&amp;"!E:E"),,0,1)</f>
        <v>48.2</v>
      </c>
      <c r="E82" t="str">
        <f t="shared" ca="1" si="1"/>
        <v xml:space="preserve">              -162,48.2,0</v>
      </c>
    </row>
    <row r="83" spans="1:5" x14ac:dyDescent="0.35">
      <c r="A83" t="s">
        <v>42</v>
      </c>
      <c r="B83">
        <f>COUNTIFS(A$1:A83,A83)-1</f>
        <v>1</v>
      </c>
      <c r="C83" cm="1">
        <f t="array" aca="1" ref="C83" ca="1">_xlfn.XLOOKUP(B83,INDIRECT(A83&amp;"!A:A"),INDIRECT(A83&amp;"!B:B"),,0,1)</f>
        <v>-161.75</v>
      </c>
      <c r="D83" cm="1">
        <f t="array" aca="1" ref="D83" ca="1">_xlfn.XLOOKUP($B83,INDIRECT($A83&amp;"!A:A"),INDIRECT($A83&amp;"!E:E"),,0,1)</f>
        <v>48.1</v>
      </c>
      <c r="E83" t="str">
        <f t="shared" ca="1" si="1"/>
        <v xml:space="preserve">              -161.75,48.1,0</v>
      </c>
    </row>
    <row r="84" spans="1:5" x14ac:dyDescent="0.35">
      <c r="A84" t="s">
        <v>42</v>
      </c>
      <c r="B84">
        <f>COUNTIFS(A$1:A84,A84)-1</f>
        <v>2</v>
      </c>
      <c r="C84" cm="1">
        <f t="array" aca="1" ref="C84" ca="1">_xlfn.XLOOKUP(B84,INDIRECT(A84&amp;"!A:A"),INDIRECT(A84&amp;"!B:B"),,0,1)</f>
        <v>-161.5</v>
      </c>
      <c r="D84" cm="1">
        <f t="array" aca="1" ref="D84" ca="1">_xlfn.XLOOKUP($B84,INDIRECT($A84&amp;"!A:A"),INDIRECT($A84&amp;"!E:E"),,0,1)</f>
        <v>48.01</v>
      </c>
      <c r="E84" t="str">
        <f t="shared" ca="1" si="1"/>
        <v xml:space="preserve">              -161.5,48.01,0</v>
      </c>
    </row>
    <row r="85" spans="1:5" x14ac:dyDescent="0.35">
      <c r="A85" t="s">
        <v>42</v>
      </c>
      <c r="B85">
        <f>COUNTIFS(A$1:A85,A85)-1</f>
        <v>3</v>
      </c>
      <c r="C85" cm="1">
        <f t="array" aca="1" ref="C85" ca="1">_xlfn.XLOOKUP(B85,INDIRECT(A85&amp;"!A:A"),INDIRECT(A85&amp;"!B:B"),,0,1)</f>
        <v>-161.25</v>
      </c>
      <c r="D85" cm="1">
        <f t="array" aca="1" ref="D85" ca="1">_xlfn.XLOOKUP($B85,INDIRECT($A85&amp;"!A:A"),INDIRECT($A85&amp;"!E:E"),,0,1)</f>
        <v>47.91</v>
      </c>
      <c r="E85" t="str">
        <f t="shared" ca="1" si="1"/>
        <v xml:space="preserve">              -161.25,47.91,0</v>
      </c>
    </row>
    <row r="86" spans="1:5" x14ac:dyDescent="0.35">
      <c r="A86" t="s">
        <v>42</v>
      </c>
      <c r="B86">
        <f>COUNTIFS(A$1:A86,A86)-1</f>
        <v>4</v>
      </c>
      <c r="C86" cm="1">
        <f t="array" aca="1" ref="C86" ca="1">_xlfn.XLOOKUP(B86,INDIRECT(A86&amp;"!A:A"),INDIRECT(A86&amp;"!B:B"),,0,1)</f>
        <v>-161</v>
      </c>
      <c r="D86" cm="1">
        <f t="array" aca="1" ref="D86" ca="1">_xlfn.XLOOKUP($B86,INDIRECT($A86&amp;"!A:A"),INDIRECT($A86&amp;"!E:E"),,0,1)</f>
        <v>47.81</v>
      </c>
      <c r="E86" t="str">
        <f t="shared" ca="1" si="1"/>
        <v xml:space="preserve">              -161,47.81,0</v>
      </c>
    </row>
    <row r="87" spans="1:5" x14ac:dyDescent="0.35">
      <c r="A87" t="s">
        <v>42</v>
      </c>
      <c r="B87">
        <f>COUNTIFS(A$1:A87,A87)-1</f>
        <v>5</v>
      </c>
      <c r="C87" cm="1">
        <f t="array" aca="1" ref="C87" ca="1">_xlfn.XLOOKUP(B87,INDIRECT(A87&amp;"!A:A"),INDIRECT(A87&amp;"!B:B"),,0,1)</f>
        <v>-160.75</v>
      </c>
      <c r="D87" cm="1">
        <f t="array" aca="1" ref="D87" ca="1">_xlfn.XLOOKUP($B87,INDIRECT($A87&amp;"!A:A"),INDIRECT($A87&amp;"!E:E"),,0,1)</f>
        <v>47.71</v>
      </c>
      <c r="E87" t="str">
        <f t="shared" ca="1" si="1"/>
        <v xml:space="preserve">              -160.75,47.71,0</v>
      </c>
    </row>
    <row r="88" spans="1:5" x14ac:dyDescent="0.35">
      <c r="A88" t="s">
        <v>42</v>
      </c>
      <c r="B88">
        <f>COUNTIFS(A$1:A88,A88)-1</f>
        <v>6</v>
      </c>
      <c r="C88" cm="1">
        <f t="array" aca="1" ref="C88" ca="1">_xlfn.XLOOKUP(B88,INDIRECT(A88&amp;"!A:A"),INDIRECT(A88&amp;"!B:B"),,0,1)</f>
        <v>-160.5</v>
      </c>
      <c r="D88" cm="1">
        <f t="array" aca="1" ref="D88" ca="1">_xlfn.XLOOKUP($B88,INDIRECT($A88&amp;"!A:A"),INDIRECT($A88&amp;"!E:E"),,0,1)</f>
        <v>47.61</v>
      </c>
      <c r="E88" t="str">
        <f t="shared" ca="1" si="1"/>
        <v xml:space="preserve">              -160.5,47.61,0</v>
      </c>
    </row>
    <row r="89" spans="1:5" x14ac:dyDescent="0.35">
      <c r="A89" t="s">
        <v>42</v>
      </c>
      <c r="B89">
        <f>COUNTIFS(A$1:A89,A89)-1</f>
        <v>7</v>
      </c>
      <c r="C89" cm="1">
        <f t="array" aca="1" ref="C89" ca="1">_xlfn.XLOOKUP(B89,INDIRECT(A89&amp;"!A:A"),INDIRECT(A89&amp;"!B:B"),,0,1)</f>
        <v>-160.25</v>
      </c>
      <c r="D89" cm="1">
        <f t="array" aca="1" ref="D89" ca="1">_xlfn.XLOOKUP($B89,INDIRECT($A89&amp;"!A:A"),INDIRECT($A89&amp;"!E:E"),,0,1)</f>
        <v>47.5</v>
      </c>
      <c r="E89" t="str">
        <f t="shared" ca="1" si="1"/>
        <v xml:space="preserve">              -160.25,47.5,0</v>
      </c>
    </row>
    <row r="90" spans="1:5" x14ac:dyDescent="0.35">
      <c r="A90" t="s">
        <v>42</v>
      </c>
      <c r="B90">
        <f>COUNTIFS(A$1:A90,A90)-1</f>
        <v>8</v>
      </c>
      <c r="C90" cm="1">
        <f t="array" aca="1" ref="C90" ca="1">_xlfn.XLOOKUP(B90,INDIRECT(A90&amp;"!A:A"),INDIRECT(A90&amp;"!B:B"),,0,1)</f>
        <v>-160</v>
      </c>
      <c r="D90" cm="1">
        <f t="array" aca="1" ref="D90" ca="1">_xlfn.XLOOKUP($B90,INDIRECT($A90&amp;"!A:A"),INDIRECT($A90&amp;"!E:E"),,0,1)</f>
        <v>47.4</v>
      </c>
      <c r="E90" t="str">
        <f t="shared" ca="1" si="1"/>
        <v xml:space="preserve">              -160,47.4,0</v>
      </c>
    </row>
    <row r="91" spans="1:5" x14ac:dyDescent="0.35">
      <c r="A91" t="s">
        <v>42</v>
      </c>
      <c r="B91">
        <f>COUNTIFS(A$1:A91,A91)-1</f>
        <v>9</v>
      </c>
      <c r="C91" cm="1">
        <f t="array" aca="1" ref="C91" ca="1">_xlfn.XLOOKUP(B91,INDIRECT(A91&amp;"!A:A"),INDIRECT(A91&amp;"!B:B"),,0,1)</f>
        <v>-159.75</v>
      </c>
      <c r="D91" cm="1">
        <f t="array" aca="1" ref="D91" ca="1">_xlfn.XLOOKUP($B91,INDIRECT($A91&amp;"!A:A"),INDIRECT($A91&amp;"!E:E"),,0,1)</f>
        <v>47.3</v>
      </c>
      <c r="E91" t="str">
        <f t="shared" ca="1" si="1"/>
        <v xml:space="preserve">              -159.75,47.3,0</v>
      </c>
    </row>
    <row r="92" spans="1:5" x14ac:dyDescent="0.35">
      <c r="A92" t="s">
        <v>42</v>
      </c>
      <c r="B92">
        <f>COUNTIFS(A$1:A92,A92)-1</f>
        <v>10</v>
      </c>
      <c r="C92" cm="1">
        <f t="array" aca="1" ref="C92" ca="1">_xlfn.XLOOKUP(B92,INDIRECT(A92&amp;"!A:A"),INDIRECT(A92&amp;"!B:B"),,0,1)</f>
        <v>-159.5</v>
      </c>
      <c r="D92" cm="1">
        <f t="array" aca="1" ref="D92" ca="1">_xlfn.XLOOKUP($B92,INDIRECT($A92&amp;"!A:A"),INDIRECT($A92&amp;"!E:E"),,0,1)</f>
        <v>47.19</v>
      </c>
      <c r="E92" t="str">
        <f t="shared" ca="1" si="1"/>
        <v xml:space="preserve">              -159.5,47.19,0</v>
      </c>
    </row>
    <row r="93" spans="1:5" x14ac:dyDescent="0.35">
      <c r="A93" t="s">
        <v>42</v>
      </c>
      <c r="B93">
        <f>COUNTIFS(A$1:A93,A93)-1</f>
        <v>11</v>
      </c>
      <c r="C93" cm="1">
        <f t="array" aca="1" ref="C93" ca="1">_xlfn.XLOOKUP(B93,INDIRECT(A93&amp;"!A:A"),INDIRECT(A93&amp;"!B:B"),,0,1)</f>
        <v>-159.25</v>
      </c>
      <c r="D93" cm="1">
        <f t="array" aca="1" ref="D93" ca="1">_xlfn.XLOOKUP($B93,INDIRECT($A93&amp;"!A:A"),INDIRECT($A93&amp;"!E:E"),,0,1)</f>
        <v>47.09</v>
      </c>
      <c r="E93" t="str">
        <f t="shared" ca="1" si="1"/>
        <v xml:space="preserve">              -159.25,47.09,0</v>
      </c>
    </row>
    <row r="94" spans="1:5" x14ac:dyDescent="0.35">
      <c r="A94" t="s">
        <v>42</v>
      </c>
      <c r="B94">
        <f>COUNTIFS(A$1:A94,A94)-1</f>
        <v>12</v>
      </c>
      <c r="C94" cm="1">
        <f t="array" aca="1" ref="C94" ca="1">_xlfn.XLOOKUP(B94,INDIRECT(A94&amp;"!A:A"),INDIRECT(A94&amp;"!B:B"),,0,1)</f>
        <v>-159</v>
      </c>
      <c r="D94" cm="1">
        <f t="array" aca="1" ref="D94" ca="1">_xlfn.XLOOKUP($B94,INDIRECT($A94&amp;"!A:A"),INDIRECT($A94&amp;"!E:E"),,0,1)</f>
        <v>46.98</v>
      </c>
      <c r="E94" t="str">
        <f t="shared" ca="1" si="1"/>
        <v xml:space="preserve">              -159,46.98,0</v>
      </c>
    </row>
    <row r="95" spans="1:5" x14ac:dyDescent="0.35">
      <c r="A95" t="s">
        <v>42</v>
      </c>
      <c r="B95">
        <f>COUNTIFS(A$1:A95,A95)-1</f>
        <v>13</v>
      </c>
      <c r="C95" cm="1">
        <f t="array" aca="1" ref="C95" ca="1">_xlfn.XLOOKUP(B95,INDIRECT(A95&amp;"!A:A"),INDIRECT(A95&amp;"!B:B"),,0,1)</f>
        <v>-158.75</v>
      </c>
      <c r="D95" cm="1">
        <f t="array" aca="1" ref="D95" ca="1">_xlfn.XLOOKUP($B95,INDIRECT($A95&amp;"!A:A"),INDIRECT($A95&amp;"!E:E"),,0,1)</f>
        <v>46.87</v>
      </c>
      <c r="E95" t="str">
        <f t="shared" ca="1" si="1"/>
        <v xml:space="preserve">              -158.75,46.87,0</v>
      </c>
    </row>
    <row r="96" spans="1:5" x14ac:dyDescent="0.35">
      <c r="A96" t="s">
        <v>42</v>
      </c>
      <c r="B96">
        <f>COUNTIFS(A$1:A96,A96)-1</f>
        <v>14</v>
      </c>
      <c r="C96" cm="1">
        <f t="array" aca="1" ref="C96" ca="1">_xlfn.XLOOKUP(B96,INDIRECT(A96&amp;"!A:A"),INDIRECT(A96&amp;"!B:B"),,0,1)</f>
        <v>-158.5</v>
      </c>
      <c r="D96" cm="1">
        <f t="array" aca="1" ref="D96" ca="1">_xlfn.XLOOKUP($B96,INDIRECT($A96&amp;"!A:A"),INDIRECT($A96&amp;"!E:E"),,0,1)</f>
        <v>46.76</v>
      </c>
      <c r="E96" t="str">
        <f t="shared" ca="1" si="1"/>
        <v xml:space="preserve">              -158.5,46.76,0</v>
      </c>
    </row>
    <row r="97" spans="1:5" x14ac:dyDescent="0.35">
      <c r="A97" t="s">
        <v>42</v>
      </c>
      <c r="B97">
        <f>COUNTIFS(A$1:A97,A97)-1</f>
        <v>15</v>
      </c>
      <c r="C97" cm="1">
        <f t="array" aca="1" ref="C97" ca="1">_xlfn.XLOOKUP(B97,INDIRECT(A97&amp;"!A:A"),INDIRECT(A97&amp;"!B:B"),,0,1)</f>
        <v>-158.25</v>
      </c>
      <c r="D97" cm="1">
        <f t="array" aca="1" ref="D97" ca="1">_xlfn.XLOOKUP($B97,INDIRECT($A97&amp;"!A:A"),INDIRECT($A97&amp;"!E:E"),,0,1)</f>
        <v>46.65</v>
      </c>
      <c r="E97" t="str">
        <f t="shared" ca="1" si="1"/>
        <v xml:space="preserve">              -158.25,46.65,0</v>
      </c>
    </row>
    <row r="98" spans="1:5" x14ac:dyDescent="0.35">
      <c r="A98" t="s">
        <v>42</v>
      </c>
      <c r="B98">
        <f>COUNTIFS(A$1:A98,A98)-1</f>
        <v>16</v>
      </c>
      <c r="C98" cm="1">
        <f t="array" aca="1" ref="C98" ca="1">_xlfn.XLOOKUP(B98,INDIRECT(A98&amp;"!A:A"),INDIRECT(A98&amp;"!B:B"),,0,1)</f>
        <v>-158</v>
      </c>
      <c r="D98" cm="1">
        <f t="array" aca="1" ref="D98" ca="1">_xlfn.XLOOKUP($B98,INDIRECT($A98&amp;"!A:A"),INDIRECT($A98&amp;"!E:E"),,0,1)</f>
        <v>46.54</v>
      </c>
      <c r="E98" t="str">
        <f t="shared" ca="1" si="1"/>
        <v xml:space="preserve">              -158,46.54,0</v>
      </c>
    </row>
    <row r="99" spans="1:5" x14ac:dyDescent="0.35">
      <c r="A99" t="s">
        <v>42</v>
      </c>
      <c r="B99">
        <f>COUNTIFS(A$1:A99,A99)-1</f>
        <v>17</v>
      </c>
      <c r="C99" cm="1">
        <f t="array" aca="1" ref="C99" ca="1">_xlfn.XLOOKUP(B99,INDIRECT(A99&amp;"!A:A"),INDIRECT(A99&amp;"!B:B"),,0,1)</f>
        <v>-157.75</v>
      </c>
      <c r="D99" cm="1">
        <f t="array" aca="1" ref="D99" ca="1">_xlfn.XLOOKUP($B99,INDIRECT($A99&amp;"!A:A"),INDIRECT($A99&amp;"!E:E"),,0,1)</f>
        <v>46.43</v>
      </c>
      <c r="E99" t="str">
        <f t="shared" ca="1" si="1"/>
        <v xml:space="preserve">              -157.75,46.43,0</v>
      </c>
    </row>
    <row r="100" spans="1:5" x14ac:dyDescent="0.35">
      <c r="A100" t="s">
        <v>42</v>
      </c>
      <c r="B100">
        <f>COUNTIFS(A$1:A100,A100)-1</f>
        <v>18</v>
      </c>
      <c r="C100" cm="1">
        <f t="array" aca="1" ref="C100" ca="1">_xlfn.XLOOKUP(B100,INDIRECT(A100&amp;"!A:A"),INDIRECT(A100&amp;"!B:B"),,0,1)</f>
        <v>-157.5</v>
      </c>
      <c r="D100" cm="1">
        <f t="array" aca="1" ref="D100" ca="1">_xlfn.XLOOKUP($B100,INDIRECT($A100&amp;"!A:A"),INDIRECT($A100&amp;"!E:E"),,0,1)</f>
        <v>46.32</v>
      </c>
      <c r="E100" t="str">
        <f t="shared" ca="1" si="1"/>
        <v xml:space="preserve">              -157.5,46.32,0</v>
      </c>
    </row>
    <row r="101" spans="1:5" x14ac:dyDescent="0.35">
      <c r="A101" t="s">
        <v>42</v>
      </c>
      <c r="B101">
        <f>COUNTIFS(A$1:A101,A101)-1</f>
        <v>19</v>
      </c>
      <c r="C101" cm="1">
        <f t="array" aca="1" ref="C101" ca="1">_xlfn.XLOOKUP(B101,INDIRECT(A101&amp;"!A:A"),INDIRECT(A101&amp;"!B:B"),,0,1)</f>
        <v>-157.25</v>
      </c>
      <c r="D101" cm="1">
        <f t="array" aca="1" ref="D101" ca="1">_xlfn.XLOOKUP($B101,INDIRECT($A101&amp;"!A:A"),INDIRECT($A101&amp;"!E:E"),,0,1)</f>
        <v>46.2</v>
      </c>
      <c r="E101" t="str">
        <f t="shared" ca="1" si="1"/>
        <v xml:space="preserve">              -157.25,46.2,0</v>
      </c>
    </row>
    <row r="102" spans="1:5" x14ac:dyDescent="0.35">
      <c r="A102" t="s">
        <v>42</v>
      </c>
      <c r="B102">
        <f>COUNTIFS(A$1:A102,A102)-1</f>
        <v>20</v>
      </c>
      <c r="C102" cm="1">
        <f t="array" aca="1" ref="C102" ca="1">_xlfn.XLOOKUP(B102,INDIRECT(A102&amp;"!A:A"),INDIRECT(A102&amp;"!B:B"),,0,1)</f>
        <v>-157</v>
      </c>
      <c r="D102" cm="1">
        <f t="array" aca="1" ref="D102" ca="1">_xlfn.XLOOKUP($B102,INDIRECT($A102&amp;"!A:A"),INDIRECT($A102&amp;"!E:E"),,0,1)</f>
        <v>46.09</v>
      </c>
      <c r="E102" t="str">
        <f t="shared" ca="1" si="1"/>
        <v xml:space="preserve">              -157,46.09,0</v>
      </c>
    </row>
    <row r="103" spans="1:5" x14ac:dyDescent="0.35">
      <c r="A103" t="s">
        <v>42</v>
      </c>
      <c r="B103">
        <f>COUNTIFS(A$1:A103,A103)-1</f>
        <v>21</v>
      </c>
      <c r="C103" cm="1">
        <f t="array" aca="1" ref="C103" ca="1">_xlfn.XLOOKUP(B103,INDIRECT(A103&amp;"!A:A"),INDIRECT(A103&amp;"!B:B"),,0,1)</f>
        <v>-156.75</v>
      </c>
      <c r="D103" cm="1">
        <f t="array" aca="1" ref="D103" ca="1">_xlfn.XLOOKUP($B103,INDIRECT($A103&amp;"!A:A"),INDIRECT($A103&amp;"!E:E"),,0,1)</f>
        <v>45.97</v>
      </c>
      <c r="E103" t="str">
        <f t="shared" ca="1" si="1"/>
        <v xml:space="preserve">              -156.75,45.97,0</v>
      </c>
    </row>
    <row r="104" spans="1:5" x14ac:dyDescent="0.35">
      <c r="A104" t="s">
        <v>42</v>
      </c>
      <c r="B104">
        <f>COUNTIFS(A$1:A104,A104)-1</f>
        <v>22</v>
      </c>
      <c r="C104" cm="1">
        <f t="array" aca="1" ref="C104" ca="1">_xlfn.XLOOKUP(B104,INDIRECT(A104&amp;"!A:A"),INDIRECT(A104&amp;"!B:B"),,0,1)</f>
        <v>-156.5</v>
      </c>
      <c r="D104" cm="1">
        <f t="array" aca="1" ref="D104" ca="1">_xlfn.XLOOKUP($B104,INDIRECT($A104&amp;"!A:A"),INDIRECT($A104&amp;"!E:E"),,0,1)</f>
        <v>45.85</v>
      </c>
      <c r="E104" t="str">
        <f t="shared" ca="1" si="1"/>
        <v xml:space="preserve">              -156.5,45.85,0</v>
      </c>
    </row>
    <row r="105" spans="1:5" x14ac:dyDescent="0.35">
      <c r="A105" t="s">
        <v>42</v>
      </c>
      <c r="B105">
        <f>COUNTIFS(A$1:A105,A105)-1</f>
        <v>23</v>
      </c>
      <c r="C105" cm="1">
        <f t="array" aca="1" ref="C105" ca="1">_xlfn.XLOOKUP(B105,INDIRECT(A105&amp;"!A:A"),INDIRECT(A105&amp;"!B:B"),,0,1)</f>
        <v>-156.25</v>
      </c>
      <c r="D105" cm="1">
        <f t="array" aca="1" ref="D105" ca="1">_xlfn.XLOOKUP($B105,INDIRECT($A105&amp;"!A:A"),INDIRECT($A105&amp;"!E:E"),,0,1)</f>
        <v>45.74</v>
      </c>
      <c r="E105" t="str">
        <f t="shared" ca="1" si="1"/>
        <v xml:space="preserve">              -156.25,45.74,0</v>
      </c>
    </row>
    <row r="106" spans="1:5" x14ac:dyDescent="0.35">
      <c r="A106" t="s">
        <v>42</v>
      </c>
      <c r="B106">
        <f>COUNTIFS(A$1:A106,A106)-1</f>
        <v>24</v>
      </c>
      <c r="C106" cm="1">
        <f t="array" aca="1" ref="C106" ca="1">_xlfn.XLOOKUP(B106,INDIRECT(A106&amp;"!A:A"),INDIRECT(A106&amp;"!B:B"),,0,1)</f>
        <v>-156</v>
      </c>
      <c r="D106" cm="1">
        <f t="array" aca="1" ref="D106" ca="1">_xlfn.XLOOKUP($B106,INDIRECT($A106&amp;"!A:A"),INDIRECT($A106&amp;"!E:E"),,0,1)</f>
        <v>45.62</v>
      </c>
      <c r="E106" t="str">
        <f t="shared" ca="1" si="1"/>
        <v xml:space="preserve">              -156,45.62,0</v>
      </c>
    </row>
    <row r="107" spans="1:5" x14ac:dyDescent="0.35">
      <c r="A107" t="s">
        <v>42</v>
      </c>
      <c r="B107">
        <f>COUNTIFS(A$1:A107,A107)-1</f>
        <v>25</v>
      </c>
      <c r="C107" cm="1">
        <f t="array" aca="1" ref="C107" ca="1">_xlfn.XLOOKUP(B107,INDIRECT(A107&amp;"!A:A"),INDIRECT(A107&amp;"!B:B"),,0,1)</f>
        <v>-155.75</v>
      </c>
      <c r="D107" cm="1">
        <f t="array" aca="1" ref="D107" ca="1">_xlfn.XLOOKUP($B107,INDIRECT($A107&amp;"!A:A"),INDIRECT($A107&amp;"!E:E"),,0,1)</f>
        <v>45.5</v>
      </c>
      <c r="E107" t="str">
        <f t="shared" ca="1" si="1"/>
        <v xml:space="preserve">              -155.75,45.5,0</v>
      </c>
    </row>
    <row r="108" spans="1:5" x14ac:dyDescent="0.35">
      <c r="A108" t="s">
        <v>42</v>
      </c>
      <c r="B108">
        <f>COUNTIFS(A$1:A108,A108)-1</f>
        <v>26</v>
      </c>
      <c r="C108" cm="1">
        <f t="array" aca="1" ref="C108" ca="1">_xlfn.XLOOKUP(B108,INDIRECT(A108&amp;"!A:A"),INDIRECT(A108&amp;"!B:B"),,0,1)</f>
        <v>-155.5</v>
      </c>
      <c r="D108" cm="1">
        <f t="array" aca="1" ref="D108" ca="1">_xlfn.XLOOKUP($B108,INDIRECT($A108&amp;"!A:A"),INDIRECT($A108&amp;"!E:E"),,0,1)</f>
        <v>45.38</v>
      </c>
      <c r="E108" t="str">
        <f t="shared" ca="1" si="1"/>
        <v xml:space="preserve">              -155.5,45.38,0</v>
      </c>
    </row>
    <row r="109" spans="1:5" x14ac:dyDescent="0.35">
      <c r="A109" t="s">
        <v>42</v>
      </c>
      <c r="B109">
        <f>COUNTIFS(A$1:A109,A109)-1</f>
        <v>27</v>
      </c>
      <c r="C109" cm="1">
        <f t="array" aca="1" ref="C109" ca="1">_xlfn.XLOOKUP(B109,INDIRECT(A109&amp;"!A:A"),INDIRECT(A109&amp;"!B:B"),,0,1)</f>
        <v>-155.25</v>
      </c>
      <c r="D109" cm="1">
        <f t="array" aca="1" ref="D109" ca="1">_xlfn.XLOOKUP($B109,INDIRECT($A109&amp;"!A:A"),INDIRECT($A109&amp;"!E:E"),,0,1)</f>
        <v>45.25</v>
      </c>
      <c r="E109" t="str">
        <f t="shared" ca="1" si="1"/>
        <v xml:space="preserve">              -155.25,45.25,0</v>
      </c>
    </row>
    <row r="110" spans="1:5" x14ac:dyDescent="0.35">
      <c r="A110" t="s">
        <v>42</v>
      </c>
      <c r="B110">
        <f>COUNTIFS(A$1:A110,A110)-1</f>
        <v>28</v>
      </c>
      <c r="C110" cm="1">
        <f t="array" aca="1" ref="C110" ca="1">_xlfn.XLOOKUP(B110,INDIRECT(A110&amp;"!A:A"),INDIRECT(A110&amp;"!B:B"),,0,1)</f>
        <v>-155</v>
      </c>
      <c r="D110" cm="1">
        <f t="array" aca="1" ref="D110" ca="1">_xlfn.XLOOKUP($B110,INDIRECT($A110&amp;"!A:A"),INDIRECT($A110&amp;"!E:E"),,0,1)</f>
        <v>45.13</v>
      </c>
      <c r="E110" t="str">
        <f t="shared" ca="1" si="1"/>
        <v xml:space="preserve">              -155,45.13,0</v>
      </c>
    </row>
    <row r="111" spans="1:5" x14ac:dyDescent="0.35">
      <c r="A111" t="s">
        <v>42</v>
      </c>
      <c r="B111">
        <f>COUNTIFS(A$1:A111,A111)-1</f>
        <v>29</v>
      </c>
      <c r="C111" cm="1">
        <f t="array" aca="1" ref="C111" ca="1">_xlfn.XLOOKUP(B111,INDIRECT(A111&amp;"!A:A"),INDIRECT(A111&amp;"!B:B"),,0,1)</f>
        <v>-154.75</v>
      </c>
      <c r="D111" cm="1">
        <f t="array" aca="1" ref="D111" ca="1">_xlfn.XLOOKUP($B111,INDIRECT($A111&amp;"!A:A"),INDIRECT($A111&amp;"!E:E"),,0,1)</f>
        <v>45.01</v>
      </c>
      <c r="E111" t="str">
        <f t="shared" ca="1" si="1"/>
        <v xml:space="preserve">              -154.75,45.01,0</v>
      </c>
    </row>
    <row r="112" spans="1:5" x14ac:dyDescent="0.35">
      <c r="A112" t="s">
        <v>42</v>
      </c>
      <c r="B112">
        <f>COUNTIFS(A$1:A112,A112)-1</f>
        <v>30</v>
      </c>
      <c r="C112" cm="1">
        <f t="array" aca="1" ref="C112" ca="1">_xlfn.XLOOKUP(B112,INDIRECT(A112&amp;"!A:A"),INDIRECT(A112&amp;"!B:B"),,0,1)</f>
        <v>-154.5</v>
      </c>
      <c r="D112" cm="1">
        <f t="array" aca="1" ref="D112" ca="1">_xlfn.XLOOKUP($B112,INDIRECT($A112&amp;"!A:A"),INDIRECT($A112&amp;"!E:E"),,0,1)</f>
        <v>44.88</v>
      </c>
      <c r="E112" t="str">
        <f t="shared" ca="1" si="1"/>
        <v xml:space="preserve">              -154.5,44.88,0</v>
      </c>
    </row>
    <row r="113" spans="1:5" x14ac:dyDescent="0.35">
      <c r="A113" t="s">
        <v>42</v>
      </c>
      <c r="B113">
        <f>COUNTIFS(A$1:A113,A113)-1</f>
        <v>31</v>
      </c>
      <c r="C113" cm="1">
        <f t="array" aca="1" ref="C113" ca="1">_xlfn.XLOOKUP(B113,INDIRECT(A113&amp;"!A:A"),INDIRECT(A113&amp;"!B:B"),,0,1)</f>
        <v>-154.25</v>
      </c>
      <c r="D113" cm="1">
        <f t="array" aca="1" ref="D113" ca="1">_xlfn.XLOOKUP($B113,INDIRECT($A113&amp;"!A:A"),INDIRECT($A113&amp;"!E:E"),,0,1)</f>
        <v>44.75</v>
      </c>
      <c r="E113" t="str">
        <f t="shared" ca="1" si="1"/>
        <v xml:space="preserve">              -154.25,44.75,0</v>
      </c>
    </row>
    <row r="114" spans="1:5" x14ac:dyDescent="0.35">
      <c r="A114" t="s">
        <v>42</v>
      </c>
      <c r="B114">
        <f>COUNTIFS(A$1:A114,A114)-1</f>
        <v>32</v>
      </c>
      <c r="C114" cm="1">
        <f t="array" aca="1" ref="C114" ca="1">_xlfn.XLOOKUP(B114,INDIRECT(A114&amp;"!A:A"),INDIRECT(A114&amp;"!B:B"),,0,1)</f>
        <v>-154</v>
      </c>
      <c r="D114" cm="1">
        <f t="array" aca="1" ref="D114" ca="1">_xlfn.XLOOKUP($B114,INDIRECT($A114&amp;"!A:A"),INDIRECT($A114&amp;"!E:E"),,0,1)</f>
        <v>44.63</v>
      </c>
      <c r="E114" t="str">
        <f t="shared" ca="1" si="1"/>
        <v xml:space="preserve">              -154,44.63,0</v>
      </c>
    </row>
    <row r="115" spans="1:5" x14ac:dyDescent="0.35">
      <c r="A115" t="s">
        <v>42</v>
      </c>
      <c r="B115">
        <f>COUNTIFS(A$1:A115,A115)-1</f>
        <v>33</v>
      </c>
      <c r="C115" cm="1">
        <f t="array" aca="1" ref="C115" ca="1">_xlfn.XLOOKUP(B115,INDIRECT(A115&amp;"!A:A"),INDIRECT(A115&amp;"!B:B"),,0,1)</f>
        <v>-153.75</v>
      </c>
      <c r="D115" cm="1">
        <f t="array" aca="1" ref="D115" ca="1">_xlfn.XLOOKUP($B115,INDIRECT($A115&amp;"!A:A"),INDIRECT($A115&amp;"!E:E"),,0,1)</f>
        <v>44.5</v>
      </c>
      <c r="E115" t="str">
        <f t="shared" ca="1" si="1"/>
        <v xml:space="preserve">              -153.75,44.5,0</v>
      </c>
    </row>
    <row r="116" spans="1:5" x14ac:dyDescent="0.35">
      <c r="A116" t="s">
        <v>42</v>
      </c>
      <c r="B116">
        <f>COUNTIFS(A$1:A116,A116)-1</f>
        <v>34</v>
      </c>
      <c r="C116" cm="1">
        <f t="array" aca="1" ref="C116" ca="1">_xlfn.XLOOKUP(B116,INDIRECT(A116&amp;"!A:A"),INDIRECT(A116&amp;"!B:B"),,0,1)</f>
        <v>-153.5</v>
      </c>
      <c r="D116" cm="1">
        <f t="array" aca="1" ref="D116" ca="1">_xlfn.XLOOKUP($B116,INDIRECT($A116&amp;"!A:A"),INDIRECT($A116&amp;"!E:E"),,0,1)</f>
        <v>44.37</v>
      </c>
      <c r="E116" t="str">
        <f t="shared" ca="1" si="1"/>
        <v xml:space="preserve">              -153.5,44.37,0</v>
      </c>
    </row>
    <row r="117" spans="1:5" x14ac:dyDescent="0.35">
      <c r="A117" t="s">
        <v>42</v>
      </c>
      <c r="B117">
        <f>COUNTIFS(A$1:A117,A117)-1</f>
        <v>35</v>
      </c>
      <c r="C117" cm="1">
        <f t="array" aca="1" ref="C117" ca="1">_xlfn.XLOOKUP(B117,INDIRECT(A117&amp;"!A:A"),INDIRECT(A117&amp;"!B:B"),,0,1)</f>
        <v>-153.25</v>
      </c>
      <c r="D117" cm="1">
        <f t="array" aca="1" ref="D117" ca="1">_xlfn.XLOOKUP($B117,INDIRECT($A117&amp;"!A:A"),INDIRECT($A117&amp;"!E:E"),,0,1)</f>
        <v>44.24</v>
      </c>
      <c r="E117" t="str">
        <f t="shared" ca="1" si="1"/>
        <v xml:space="preserve">              -153.25,44.24,0</v>
      </c>
    </row>
    <row r="118" spans="1:5" x14ac:dyDescent="0.35">
      <c r="A118" t="s">
        <v>42</v>
      </c>
      <c r="B118">
        <f>COUNTIFS(A$1:A118,A118)-1</f>
        <v>36</v>
      </c>
      <c r="C118" cm="1">
        <f t="array" aca="1" ref="C118" ca="1">_xlfn.XLOOKUP(B118,INDIRECT(A118&amp;"!A:A"),INDIRECT(A118&amp;"!B:B"),,0,1)</f>
        <v>-153</v>
      </c>
      <c r="D118" cm="1">
        <f t="array" aca="1" ref="D118" ca="1">_xlfn.XLOOKUP($B118,INDIRECT($A118&amp;"!A:A"),INDIRECT($A118&amp;"!E:E"),,0,1)</f>
        <v>44.1</v>
      </c>
      <c r="E118" t="str">
        <f t="shared" ca="1" si="1"/>
        <v xml:space="preserve">              -153,44.1,0</v>
      </c>
    </row>
    <row r="119" spans="1:5" x14ac:dyDescent="0.35">
      <c r="A119" t="s">
        <v>42</v>
      </c>
      <c r="B119">
        <f>COUNTIFS(A$1:A119,A119)-1</f>
        <v>37</v>
      </c>
      <c r="C119" cm="1">
        <f t="array" aca="1" ref="C119" ca="1">_xlfn.XLOOKUP(B119,INDIRECT(A119&amp;"!A:A"),INDIRECT(A119&amp;"!B:B"),,0,1)</f>
        <v>-152.75</v>
      </c>
      <c r="D119" cm="1">
        <f t="array" aca="1" ref="D119" ca="1">_xlfn.XLOOKUP($B119,INDIRECT($A119&amp;"!A:A"),INDIRECT($A119&amp;"!E:E"),,0,1)</f>
        <v>43.97</v>
      </c>
      <c r="E119" t="str">
        <f t="shared" ca="1" si="1"/>
        <v xml:space="preserve">              -152.75,43.97,0</v>
      </c>
    </row>
    <row r="120" spans="1:5" x14ac:dyDescent="0.35">
      <c r="A120" t="s">
        <v>42</v>
      </c>
      <c r="B120">
        <f>COUNTIFS(A$1:A120,A120)-1</f>
        <v>38</v>
      </c>
      <c r="C120" cm="1">
        <f t="array" aca="1" ref="C120" ca="1">_xlfn.XLOOKUP(B120,INDIRECT(A120&amp;"!A:A"),INDIRECT(A120&amp;"!B:B"),,0,1)</f>
        <v>-152.5</v>
      </c>
      <c r="D120" cm="1">
        <f t="array" aca="1" ref="D120" ca="1">_xlfn.XLOOKUP($B120,INDIRECT($A120&amp;"!A:A"),INDIRECT($A120&amp;"!E:E"),,0,1)</f>
        <v>43.84</v>
      </c>
      <c r="E120" t="str">
        <f t="shared" ca="1" si="1"/>
        <v xml:space="preserve">              -152.5,43.84,0</v>
      </c>
    </row>
    <row r="121" spans="1:5" x14ac:dyDescent="0.35">
      <c r="A121" t="s">
        <v>42</v>
      </c>
      <c r="B121">
        <f>COUNTIFS(A$1:A121,A121)-1</f>
        <v>39</v>
      </c>
      <c r="C121" cm="1">
        <f t="array" aca="1" ref="C121" ca="1">_xlfn.XLOOKUP(B121,INDIRECT(A121&amp;"!A:A"),INDIRECT(A121&amp;"!B:B"),,0,1)</f>
        <v>-152.25</v>
      </c>
      <c r="D121" cm="1">
        <f t="array" aca="1" ref="D121" ca="1">_xlfn.XLOOKUP($B121,INDIRECT($A121&amp;"!A:A"),INDIRECT($A121&amp;"!E:E"),,0,1)</f>
        <v>43.7</v>
      </c>
      <c r="E121" t="str">
        <f t="shared" ca="1" si="1"/>
        <v xml:space="preserve">              -152.25,43.7,0</v>
      </c>
    </row>
    <row r="122" spans="1:5" x14ac:dyDescent="0.35">
      <c r="A122" t="s">
        <v>42</v>
      </c>
      <c r="B122">
        <f>COUNTIFS(A$1:A122,A122)-1</f>
        <v>40</v>
      </c>
      <c r="C122" cm="1">
        <f t="array" aca="1" ref="C122" ca="1">_xlfn.XLOOKUP(B122,INDIRECT(A122&amp;"!A:A"),INDIRECT(A122&amp;"!B:B"),,0,1)</f>
        <v>-152</v>
      </c>
      <c r="D122" cm="1">
        <f t="array" aca="1" ref="D122" ca="1">_xlfn.XLOOKUP($B122,INDIRECT($A122&amp;"!A:A"),INDIRECT($A122&amp;"!E:E"),,0,1)</f>
        <v>43.56</v>
      </c>
      <c r="E122" t="str">
        <f t="shared" ca="1" si="1"/>
        <v xml:space="preserve">              -152,43.56,0</v>
      </c>
    </row>
    <row r="123" spans="1:5" x14ac:dyDescent="0.35">
      <c r="A123" t="s">
        <v>42</v>
      </c>
      <c r="B123">
        <f>COUNTIFS(A$1:A123,A123)-1</f>
        <v>41</v>
      </c>
      <c r="C123" cm="1">
        <f t="array" aca="1" ref="C123" ca="1">_xlfn.XLOOKUP(B123,INDIRECT(A123&amp;"!A:A"),INDIRECT(A123&amp;"!B:B"),,0,1)</f>
        <v>-151.75</v>
      </c>
      <c r="D123" cm="1">
        <f t="array" aca="1" ref="D123" ca="1">_xlfn.XLOOKUP($B123,INDIRECT($A123&amp;"!A:A"),INDIRECT($A123&amp;"!E:E"),,0,1)</f>
        <v>43.42</v>
      </c>
      <c r="E123" t="str">
        <f t="shared" ca="1" si="1"/>
        <v xml:space="preserve">              -151.75,43.42,0</v>
      </c>
    </row>
    <row r="124" spans="1:5" x14ac:dyDescent="0.35">
      <c r="A124" t="s">
        <v>42</v>
      </c>
      <c r="B124">
        <f>COUNTIFS(A$1:A124,A124)-1</f>
        <v>42</v>
      </c>
      <c r="C124" cm="1">
        <f t="array" aca="1" ref="C124" ca="1">_xlfn.XLOOKUP(B124,INDIRECT(A124&amp;"!A:A"),INDIRECT(A124&amp;"!B:B"),,0,1)</f>
        <v>-151.5</v>
      </c>
      <c r="D124" cm="1">
        <f t="array" aca="1" ref="D124" ca="1">_xlfn.XLOOKUP($B124,INDIRECT($A124&amp;"!A:A"),INDIRECT($A124&amp;"!E:E"),,0,1)</f>
        <v>43.29</v>
      </c>
      <c r="E124" t="str">
        <f t="shared" ca="1" si="1"/>
        <v xml:space="preserve">              -151.5,43.29,0</v>
      </c>
    </row>
    <row r="125" spans="1:5" x14ac:dyDescent="0.35">
      <c r="A125" t="s">
        <v>42</v>
      </c>
      <c r="B125">
        <f>COUNTIFS(A$1:A125,A125)-1</f>
        <v>43</v>
      </c>
      <c r="C125" cm="1">
        <f t="array" aca="1" ref="C125" ca="1">_xlfn.XLOOKUP(B125,INDIRECT(A125&amp;"!A:A"),INDIRECT(A125&amp;"!B:B"),,0,1)</f>
        <v>-151.25</v>
      </c>
      <c r="D125" cm="1">
        <f t="array" aca="1" ref="D125" ca="1">_xlfn.XLOOKUP($B125,INDIRECT($A125&amp;"!A:A"),INDIRECT($A125&amp;"!E:E"),,0,1)</f>
        <v>43.15</v>
      </c>
      <c r="E125" t="str">
        <f t="shared" ca="1" si="1"/>
        <v xml:space="preserve">              -151.25,43.15,0</v>
      </c>
    </row>
    <row r="126" spans="1:5" x14ac:dyDescent="0.35">
      <c r="A126" t="s">
        <v>42</v>
      </c>
      <c r="B126">
        <f>COUNTIFS(A$1:A126,A126)-1</f>
        <v>44</v>
      </c>
      <c r="C126" cm="1">
        <f t="array" aca="1" ref="C126" ca="1">_xlfn.XLOOKUP(B126,INDIRECT(A126&amp;"!A:A"),INDIRECT(A126&amp;"!B:B"),,0,1)</f>
        <v>-151</v>
      </c>
      <c r="D126" cm="1">
        <f t="array" aca="1" ref="D126" ca="1">_xlfn.XLOOKUP($B126,INDIRECT($A126&amp;"!A:A"),INDIRECT($A126&amp;"!E:E"),,0,1)</f>
        <v>43</v>
      </c>
      <c r="E126" t="str">
        <f t="shared" ca="1" si="1"/>
        <v xml:space="preserve">              -151,43,0</v>
      </c>
    </row>
    <row r="127" spans="1:5" x14ac:dyDescent="0.35">
      <c r="A127" t="s">
        <v>42</v>
      </c>
      <c r="B127">
        <f>COUNTIFS(A$1:A127,A127)-1</f>
        <v>45</v>
      </c>
      <c r="C127" cm="1">
        <f t="array" aca="1" ref="C127" ca="1">_xlfn.XLOOKUP(B127,INDIRECT(A127&amp;"!A:A"),INDIRECT(A127&amp;"!B:B"),,0,1)</f>
        <v>-150.75</v>
      </c>
      <c r="D127" cm="1">
        <f t="array" aca="1" ref="D127" ca="1">_xlfn.XLOOKUP($B127,INDIRECT($A127&amp;"!A:A"),INDIRECT($A127&amp;"!E:E"),,0,1)</f>
        <v>42.86</v>
      </c>
      <c r="E127" t="str">
        <f t="shared" ca="1" si="1"/>
        <v xml:space="preserve">              -150.75,42.86,0</v>
      </c>
    </row>
    <row r="128" spans="1:5" x14ac:dyDescent="0.35">
      <c r="A128" t="s">
        <v>42</v>
      </c>
      <c r="B128">
        <f>COUNTIFS(A$1:A128,A128)-1</f>
        <v>46</v>
      </c>
      <c r="C128" cm="1">
        <f t="array" aca="1" ref="C128" ca="1">_xlfn.XLOOKUP(B128,INDIRECT(A128&amp;"!A:A"),INDIRECT(A128&amp;"!B:B"),,0,1)</f>
        <v>-150.5</v>
      </c>
      <c r="D128" cm="1">
        <f t="array" aca="1" ref="D128" ca="1">_xlfn.XLOOKUP($B128,INDIRECT($A128&amp;"!A:A"),INDIRECT($A128&amp;"!E:E"),,0,1)</f>
        <v>42.72</v>
      </c>
      <c r="E128" t="str">
        <f t="shared" ca="1" si="1"/>
        <v xml:space="preserve">              -150.5,42.72,0</v>
      </c>
    </row>
    <row r="129" spans="1:5" x14ac:dyDescent="0.35">
      <c r="A129" t="s">
        <v>42</v>
      </c>
      <c r="B129">
        <f>COUNTIFS(A$1:A129,A129)-1</f>
        <v>47</v>
      </c>
      <c r="C129" cm="1">
        <f t="array" aca="1" ref="C129" ca="1">_xlfn.XLOOKUP(B129,INDIRECT(A129&amp;"!A:A"),INDIRECT(A129&amp;"!B:B"),,0,1)</f>
        <v>-150.25</v>
      </c>
      <c r="D129" cm="1">
        <f t="array" aca="1" ref="D129" ca="1">_xlfn.XLOOKUP($B129,INDIRECT($A129&amp;"!A:A"),INDIRECT($A129&amp;"!E:E"),,0,1)</f>
        <v>42.57</v>
      </c>
      <c r="E129" t="str">
        <f t="shared" ca="1" si="1"/>
        <v xml:space="preserve">              -150.25,42.57,0</v>
      </c>
    </row>
    <row r="130" spans="1:5" x14ac:dyDescent="0.35">
      <c r="A130" t="s">
        <v>42</v>
      </c>
      <c r="B130">
        <f>COUNTIFS(A$1:A130,A130)-1</f>
        <v>48</v>
      </c>
      <c r="C130" cm="1">
        <f t="array" aca="1" ref="C130" ca="1">_xlfn.XLOOKUP(B130,INDIRECT(A130&amp;"!A:A"),INDIRECT(A130&amp;"!B:B"),,0,1)</f>
        <v>-150</v>
      </c>
      <c r="D130" cm="1">
        <f t="array" aca="1" ref="D130" ca="1">_xlfn.XLOOKUP($B130,INDIRECT($A130&amp;"!A:A"),INDIRECT($A130&amp;"!E:E"),,0,1)</f>
        <v>42.43</v>
      </c>
      <c r="E130" t="str">
        <f t="shared" ca="1" si="1"/>
        <v xml:space="preserve">              -150,42.43,0</v>
      </c>
    </row>
    <row r="131" spans="1:5" x14ac:dyDescent="0.35">
      <c r="A131" t="s">
        <v>42</v>
      </c>
      <c r="B131">
        <f>COUNTIFS(A$1:A131,A131)-1</f>
        <v>49</v>
      </c>
      <c r="C131" cm="1">
        <f t="array" aca="1" ref="C131" ca="1">_xlfn.XLOOKUP(B131,INDIRECT(A131&amp;"!A:A"),INDIRECT(A131&amp;"!B:B"),,0,1)</f>
        <v>-149.75</v>
      </c>
      <c r="D131" cm="1">
        <f t="array" aca="1" ref="D131" ca="1">_xlfn.XLOOKUP($B131,INDIRECT($A131&amp;"!A:A"),INDIRECT($A131&amp;"!E:E"),,0,1)</f>
        <v>42.28</v>
      </c>
      <c r="E131" t="str">
        <f t="shared" ca="1" si="1"/>
        <v xml:space="preserve">              -149.75,42.28,0</v>
      </c>
    </row>
    <row r="132" spans="1:5" x14ac:dyDescent="0.35">
      <c r="A132" t="s">
        <v>42</v>
      </c>
      <c r="B132">
        <f>COUNTIFS(A$1:A132,A132)-1</f>
        <v>50</v>
      </c>
      <c r="C132" cm="1">
        <f t="array" aca="1" ref="C132" ca="1">_xlfn.XLOOKUP(B132,INDIRECT(A132&amp;"!A:A"),INDIRECT(A132&amp;"!B:B"),,0,1)</f>
        <v>-149.5</v>
      </c>
      <c r="D132" cm="1">
        <f t="array" aca="1" ref="D132" ca="1">_xlfn.XLOOKUP($B132,INDIRECT($A132&amp;"!A:A"),INDIRECT($A132&amp;"!E:E"),,0,1)</f>
        <v>42.13</v>
      </c>
      <c r="E132" t="str">
        <f t="shared" ca="1" si="1"/>
        <v xml:space="preserve">              -149.5,42.13,0</v>
      </c>
    </row>
    <row r="133" spans="1:5" x14ac:dyDescent="0.35">
      <c r="A133" t="s">
        <v>42</v>
      </c>
      <c r="B133">
        <f>COUNTIFS(A$1:A133,A133)-1</f>
        <v>51</v>
      </c>
      <c r="C133" cm="1">
        <f t="array" aca="1" ref="C133" ca="1">_xlfn.XLOOKUP(B133,INDIRECT(A133&amp;"!A:A"),INDIRECT(A133&amp;"!B:B"),,0,1)</f>
        <v>-149.25</v>
      </c>
      <c r="D133" cm="1">
        <f t="array" aca="1" ref="D133" ca="1">_xlfn.XLOOKUP($B133,INDIRECT($A133&amp;"!A:A"),INDIRECT($A133&amp;"!E:E"),,0,1)</f>
        <v>41.98</v>
      </c>
      <c r="E133" t="str">
        <f t="shared" ca="1" si="1"/>
        <v xml:space="preserve">              -149.25,41.98,0</v>
      </c>
    </row>
    <row r="134" spans="1:5" x14ac:dyDescent="0.35">
      <c r="A134" t="s">
        <v>42</v>
      </c>
      <c r="B134">
        <f>COUNTIFS(A$1:A134,A134)-1</f>
        <v>52</v>
      </c>
      <c r="C134" cm="1">
        <f t="array" aca="1" ref="C134" ca="1">_xlfn.XLOOKUP(B134,INDIRECT(A134&amp;"!A:A"),INDIRECT(A134&amp;"!B:B"),,0,1)</f>
        <v>-149</v>
      </c>
      <c r="D134" cm="1">
        <f t="array" aca="1" ref="D134" ca="1">_xlfn.XLOOKUP($B134,INDIRECT($A134&amp;"!A:A"),INDIRECT($A134&amp;"!E:E"),,0,1)</f>
        <v>41.83</v>
      </c>
      <c r="E134" t="str">
        <f t="shared" ca="1" si="1"/>
        <v xml:space="preserve">              -149,41.83,0</v>
      </c>
    </row>
    <row r="135" spans="1:5" x14ac:dyDescent="0.35">
      <c r="A135" t="s">
        <v>42</v>
      </c>
      <c r="B135">
        <f>COUNTIFS(A$1:A135,A135)-1</f>
        <v>53</v>
      </c>
      <c r="C135" cm="1">
        <f t="array" aca="1" ref="C135" ca="1">_xlfn.XLOOKUP(B135,INDIRECT(A135&amp;"!A:A"),INDIRECT(A135&amp;"!B:B"),,0,1)</f>
        <v>-148.75</v>
      </c>
      <c r="D135" cm="1">
        <f t="array" aca="1" ref="D135" ca="1">_xlfn.XLOOKUP($B135,INDIRECT($A135&amp;"!A:A"),INDIRECT($A135&amp;"!E:E"),,0,1)</f>
        <v>41.67</v>
      </c>
      <c r="E135" t="str">
        <f t="shared" ca="1" si="1"/>
        <v xml:space="preserve">              -148.75,41.67,0</v>
      </c>
    </row>
    <row r="136" spans="1:5" x14ac:dyDescent="0.35">
      <c r="A136" t="s">
        <v>42</v>
      </c>
      <c r="B136">
        <f>COUNTIFS(A$1:A136,A136)-1</f>
        <v>54</v>
      </c>
      <c r="C136" cm="1">
        <f t="array" aca="1" ref="C136" ca="1">_xlfn.XLOOKUP(B136,INDIRECT(A136&amp;"!A:A"),INDIRECT(A136&amp;"!B:B"),,0,1)</f>
        <v>-148.5</v>
      </c>
      <c r="D136" cm="1">
        <f t="array" aca="1" ref="D136" ca="1">_xlfn.XLOOKUP($B136,INDIRECT($A136&amp;"!A:A"),INDIRECT($A136&amp;"!E:E"),,0,1)</f>
        <v>41.52</v>
      </c>
      <c r="E136" t="str">
        <f t="shared" ca="1" si="1"/>
        <v xml:space="preserve">              -148.5,41.52,0</v>
      </c>
    </row>
    <row r="137" spans="1:5" x14ac:dyDescent="0.35">
      <c r="A137" t="s">
        <v>42</v>
      </c>
      <c r="B137">
        <f>COUNTIFS(A$1:A137,A137)-1</f>
        <v>55</v>
      </c>
      <c r="C137" cm="1">
        <f t="array" aca="1" ref="C137" ca="1">_xlfn.XLOOKUP(B137,INDIRECT(A137&amp;"!A:A"),INDIRECT(A137&amp;"!B:B"),,0,1)</f>
        <v>-148.25</v>
      </c>
      <c r="D137" cm="1">
        <f t="array" aca="1" ref="D137" ca="1">_xlfn.XLOOKUP($B137,INDIRECT($A137&amp;"!A:A"),INDIRECT($A137&amp;"!E:E"),,0,1)</f>
        <v>41.37</v>
      </c>
      <c r="E137" t="str">
        <f t="shared" ca="1" si="1"/>
        <v xml:space="preserve">              -148.25,41.37,0</v>
      </c>
    </row>
    <row r="138" spans="1:5" x14ac:dyDescent="0.35">
      <c r="A138" t="s">
        <v>42</v>
      </c>
      <c r="B138">
        <f>COUNTIFS(A$1:A138,A138)-1</f>
        <v>56</v>
      </c>
      <c r="C138" cm="1">
        <f t="array" aca="1" ref="C138" ca="1">_xlfn.XLOOKUP(B138,INDIRECT(A138&amp;"!A:A"),INDIRECT(A138&amp;"!B:B"),,0,1)</f>
        <v>-148</v>
      </c>
      <c r="D138" cm="1">
        <f t="array" aca="1" ref="D138" ca="1">_xlfn.XLOOKUP($B138,INDIRECT($A138&amp;"!A:A"),INDIRECT($A138&amp;"!E:E"),,0,1)</f>
        <v>41.21</v>
      </c>
      <c r="E138" t="str">
        <f t="shared" ref="E138:E168" ca="1" si="2">"              "&amp;C138&amp;","&amp;D138&amp;",0"</f>
        <v xml:space="preserve">              -148,41.21,0</v>
      </c>
    </row>
    <row r="139" spans="1:5" x14ac:dyDescent="0.35">
      <c r="A139" t="s">
        <v>42</v>
      </c>
      <c r="B139">
        <f>COUNTIFS(A$1:A139,A139)-1</f>
        <v>57</v>
      </c>
      <c r="C139" cm="1">
        <f t="array" aca="1" ref="C139" ca="1">_xlfn.XLOOKUP(B139,INDIRECT(A139&amp;"!A:A"),INDIRECT(A139&amp;"!B:B"),,0,1)</f>
        <v>-147.75</v>
      </c>
      <c r="D139" cm="1">
        <f t="array" aca="1" ref="D139" ca="1">_xlfn.XLOOKUP($B139,INDIRECT($A139&amp;"!A:A"),INDIRECT($A139&amp;"!E:E"),,0,1)</f>
        <v>41.05</v>
      </c>
      <c r="E139" t="str">
        <f t="shared" ca="1" si="2"/>
        <v xml:space="preserve">              -147.75,41.05,0</v>
      </c>
    </row>
    <row r="140" spans="1:5" x14ac:dyDescent="0.35">
      <c r="A140" t="s">
        <v>42</v>
      </c>
      <c r="B140">
        <f>COUNTIFS(A$1:A140,A140)-1</f>
        <v>58</v>
      </c>
      <c r="C140" cm="1">
        <f t="array" aca="1" ref="C140" ca="1">_xlfn.XLOOKUP(B140,INDIRECT(A140&amp;"!A:A"),INDIRECT(A140&amp;"!B:B"),,0,1)</f>
        <v>-147.5</v>
      </c>
      <c r="D140" cm="1">
        <f t="array" aca="1" ref="D140" ca="1">_xlfn.XLOOKUP($B140,INDIRECT($A140&amp;"!A:A"),INDIRECT($A140&amp;"!E:E"),,0,1)</f>
        <v>40.89</v>
      </c>
      <c r="E140" t="str">
        <f t="shared" ca="1" si="2"/>
        <v xml:space="preserve">              -147.5,40.89,0</v>
      </c>
    </row>
    <row r="141" spans="1:5" x14ac:dyDescent="0.35">
      <c r="A141" t="s">
        <v>42</v>
      </c>
      <c r="B141">
        <f>COUNTIFS(A$1:A141,A141)-1</f>
        <v>59</v>
      </c>
      <c r="C141" cm="1">
        <f t="array" aca="1" ref="C141" ca="1">_xlfn.XLOOKUP(B141,INDIRECT(A141&amp;"!A:A"),INDIRECT(A141&amp;"!B:B"),,0,1)</f>
        <v>-147.25</v>
      </c>
      <c r="D141" cm="1">
        <f t="array" aca="1" ref="D141" ca="1">_xlfn.XLOOKUP($B141,INDIRECT($A141&amp;"!A:A"),INDIRECT($A141&amp;"!E:E"),,0,1)</f>
        <v>40.729999999999997</v>
      </c>
      <c r="E141" t="str">
        <f t="shared" ca="1" si="2"/>
        <v xml:space="preserve">              -147.25,40.73,0</v>
      </c>
    </row>
    <row r="142" spans="1:5" x14ac:dyDescent="0.35">
      <c r="A142" t="s">
        <v>42</v>
      </c>
      <c r="B142">
        <f>COUNTIFS(A$1:A142,A142)-1</f>
        <v>60</v>
      </c>
      <c r="C142" cm="1">
        <f t="array" aca="1" ref="C142" ca="1">_xlfn.XLOOKUP(B142,INDIRECT(A142&amp;"!A:A"),INDIRECT(A142&amp;"!B:B"),,0,1)</f>
        <v>-147</v>
      </c>
      <c r="D142" cm="1">
        <f t="array" aca="1" ref="D142" ca="1">_xlfn.XLOOKUP($B142,INDIRECT($A142&amp;"!A:A"),INDIRECT($A142&amp;"!E:E"),,0,1)</f>
        <v>40.57</v>
      </c>
      <c r="E142" t="str">
        <f t="shared" ca="1" si="2"/>
        <v xml:space="preserve">              -147,40.57,0</v>
      </c>
    </row>
    <row r="143" spans="1:5" x14ac:dyDescent="0.35">
      <c r="A143" t="s">
        <v>42</v>
      </c>
      <c r="B143">
        <f>COUNTIFS(A$1:A143,A143)-1</f>
        <v>61</v>
      </c>
      <c r="C143" cm="1">
        <f t="array" aca="1" ref="C143" ca="1">_xlfn.XLOOKUP(B143,INDIRECT(A143&amp;"!A:A"),INDIRECT(A143&amp;"!B:B"),,0,1)</f>
        <v>-146.75</v>
      </c>
      <c r="D143" cm="1">
        <f t="array" aca="1" ref="D143" ca="1">_xlfn.XLOOKUP($B143,INDIRECT($A143&amp;"!A:A"),INDIRECT($A143&amp;"!E:E"),,0,1)</f>
        <v>40.409999999999997</v>
      </c>
      <c r="E143" t="str">
        <f t="shared" ca="1" si="2"/>
        <v xml:space="preserve">              -146.75,40.41,0</v>
      </c>
    </row>
    <row r="144" spans="1:5" x14ac:dyDescent="0.35">
      <c r="A144" t="s">
        <v>42</v>
      </c>
      <c r="B144">
        <f>COUNTIFS(A$1:A144,A144)-1</f>
        <v>62</v>
      </c>
      <c r="C144" cm="1">
        <f t="array" aca="1" ref="C144" ca="1">_xlfn.XLOOKUP(B144,INDIRECT(A144&amp;"!A:A"),INDIRECT(A144&amp;"!B:B"),,0,1)</f>
        <v>-146.5</v>
      </c>
      <c r="D144" cm="1">
        <f t="array" aca="1" ref="D144" ca="1">_xlfn.XLOOKUP($B144,INDIRECT($A144&amp;"!A:A"),INDIRECT($A144&amp;"!E:E"),,0,1)</f>
        <v>40.24</v>
      </c>
      <c r="E144" t="str">
        <f t="shared" ca="1" si="2"/>
        <v xml:space="preserve">              -146.5,40.24,0</v>
      </c>
    </row>
    <row r="145" spans="1:5" x14ac:dyDescent="0.35">
      <c r="A145" t="s">
        <v>42</v>
      </c>
      <c r="B145">
        <f>COUNTIFS(A$1:A145,A145)-1</f>
        <v>63</v>
      </c>
      <c r="C145" cm="1">
        <f t="array" aca="1" ref="C145" ca="1">_xlfn.XLOOKUP(B145,INDIRECT(A145&amp;"!A:A"),INDIRECT(A145&amp;"!B:B"),,0,1)</f>
        <v>-146.25</v>
      </c>
      <c r="D145" cm="1">
        <f t="array" aca="1" ref="D145" ca="1">_xlfn.XLOOKUP($B145,INDIRECT($A145&amp;"!A:A"),INDIRECT($A145&amp;"!E:E"),,0,1)</f>
        <v>40.08</v>
      </c>
      <c r="E145" t="str">
        <f t="shared" ca="1" si="2"/>
        <v xml:space="preserve">              -146.25,40.08,0</v>
      </c>
    </row>
    <row r="146" spans="1:5" x14ac:dyDescent="0.35">
      <c r="A146" t="s">
        <v>42</v>
      </c>
      <c r="B146">
        <f>COUNTIFS(A$1:A146,A146)-1</f>
        <v>64</v>
      </c>
      <c r="C146" cm="1">
        <f t="array" aca="1" ref="C146" ca="1">_xlfn.XLOOKUP(B146,INDIRECT(A146&amp;"!A:A"),INDIRECT(A146&amp;"!B:B"),,0,1)</f>
        <v>-146</v>
      </c>
      <c r="D146" cm="1">
        <f t="array" aca="1" ref="D146" ca="1">_xlfn.XLOOKUP($B146,INDIRECT($A146&amp;"!A:A"),INDIRECT($A146&amp;"!E:E"),,0,1)</f>
        <v>39.909999999999997</v>
      </c>
      <c r="E146" t="str">
        <f t="shared" ca="1" si="2"/>
        <v xml:space="preserve">              -146,39.91,0</v>
      </c>
    </row>
    <row r="147" spans="1:5" x14ac:dyDescent="0.35">
      <c r="A147" t="s">
        <v>42</v>
      </c>
      <c r="B147">
        <f>COUNTIFS(A$1:A147,A147)-1</f>
        <v>65</v>
      </c>
      <c r="C147" cm="1">
        <f t="array" aca="1" ref="C147" ca="1">_xlfn.XLOOKUP(B147,INDIRECT(A147&amp;"!A:A"),INDIRECT(A147&amp;"!B:B"),,0,1)</f>
        <v>-145.75</v>
      </c>
      <c r="D147" cm="1">
        <f t="array" aca="1" ref="D147" ca="1">_xlfn.XLOOKUP($B147,INDIRECT($A147&amp;"!A:A"),INDIRECT($A147&amp;"!E:E"),,0,1)</f>
        <v>39.74</v>
      </c>
      <c r="E147" t="str">
        <f t="shared" ca="1" si="2"/>
        <v xml:space="preserve">              -145.75,39.74,0</v>
      </c>
    </row>
    <row r="148" spans="1:5" x14ac:dyDescent="0.35">
      <c r="A148" t="s">
        <v>42</v>
      </c>
      <c r="B148">
        <f>COUNTIFS(A$1:A148,A148)-1</f>
        <v>66</v>
      </c>
      <c r="C148" cm="1">
        <f t="array" aca="1" ref="C148" ca="1">_xlfn.XLOOKUP(B148,INDIRECT(A148&amp;"!A:A"),INDIRECT(A148&amp;"!B:B"),,0,1)</f>
        <v>-145.5</v>
      </c>
      <c r="D148" cm="1">
        <f t="array" aca="1" ref="D148" ca="1">_xlfn.XLOOKUP($B148,INDIRECT($A148&amp;"!A:A"),INDIRECT($A148&amp;"!E:E"),,0,1)</f>
        <v>39.57</v>
      </c>
      <c r="E148" t="str">
        <f t="shared" ca="1" si="2"/>
        <v xml:space="preserve">              -145.5,39.57,0</v>
      </c>
    </row>
    <row r="149" spans="1:5" x14ac:dyDescent="0.35">
      <c r="A149" t="s">
        <v>42</v>
      </c>
      <c r="B149">
        <f>COUNTIFS(A$1:A149,A149)-1</f>
        <v>67</v>
      </c>
      <c r="C149" cm="1">
        <f t="array" aca="1" ref="C149" ca="1">_xlfn.XLOOKUP(B149,INDIRECT(A149&amp;"!A:A"),INDIRECT(A149&amp;"!B:B"),,0,1)</f>
        <v>-145.25</v>
      </c>
      <c r="D149" cm="1">
        <f t="array" aca="1" ref="D149" ca="1">_xlfn.XLOOKUP($B149,INDIRECT($A149&amp;"!A:A"),INDIRECT($A149&amp;"!E:E"),,0,1)</f>
        <v>39.4</v>
      </c>
      <c r="E149" t="str">
        <f t="shared" ca="1" si="2"/>
        <v xml:space="preserve">              -145.25,39.4,0</v>
      </c>
    </row>
    <row r="150" spans="1:5" x14ac:dyDescent="0.35">
      <c r="A150" t="s">
        <v>42</v>
      </c>
      <c r="B150">
        <f>COUNTIFS(A$1:A150,A150)-1</f>
        <v>68</v>
      </c>
      <c r="C150" cm="1">
        <f t="array" aca="1" ref="C150" ca="1">_xlfn.XLOOKUP(B150,INDIRECT(A150&amp;"!A:A"),INDIRECT(A150&amp;"!B:B"),,0,1)</f>
        <v>-145</v>
      </c>
      <c r="D150" cm="1">
        <f t="array" aca="1" ref="D150" ca="1">_xlfn.XLOOKUP($B150,INDIRECT($A150&amp;"!A:A"),INDIRECT($A150&amp;"!E:E"),,0,1)</f>
        <v>39.229999999999997</v>
      </c>
      <c r="E150" t="str">
        <f t="shared" ca="1" si="2"/>
        <v xml:space="preserve">              -145,39.23,0</v>
      </c>
    </row>
    <row r="151" spans="1:5" x14ac:dyDescent="0.35">
      <c r="A151" t="s">
        <v>42</v>
      </c>
      <c r="B151">
        <f>COUNTIFS(A$1:A151,A151)-1</f>
        <v>69</v>
      </c>
      <c r="C151" cm="1">
        <f t="array" aca="1" ref="C151" ca="1">_xlfn.XLOOKUP(B151,INDIRECT(A151&amp;"!A:A"),INDIRECT(A151&amp;"!B:B"),,0,1)</f>
        <v>-144.75</v>
      </c>
      <c r="D151" cm="1">
        <f t="array" aca="1" ref="D151" ca="1">_xlfn.XLOOKUP($B151,INDIRECT($A151&amp;"!A:A"),INDIRECT($A151&amp;"!E:E"),,0,1)</f>
        <v>39.049999999999997</v>
      </c>
      <c r="E151" t="str">
        <f t="shared" ca="1" si="2"/>
        <v xml:space="preserve">              -144.75,39.05,0</v>
      </c>
    </row>
    <row r="152" spans="1:5" x14ac:dyDescent="0.35">
      <c r="A152" t="s">
        <v>42</v>
      </c>
      <c r="B152">
        <f>COUNTIFS(A$1:A152,A152)-1</f>
        <v>70</v>
      </c>
      <c r="C152" cm="1">
        <f t="array" aca="1" ref="C152" ca="1">_xlfn.XLOOKUP(B152,INDIRECT(A152&amp;"!A:A"),INDIRECT(A152&amp;"!B:B"),,0,1)</f>
        <v>-144.5</v>
      </c>
      <c r="D152" cm="1">
        <f t="array" aca="1" ref="D152" ca="1">_xlfn.XLOOKUP($B152,INDIRECT($A152&amp;"!A:A"),INDIRECT($A152&amp;"!E:E"),,0,1)</f>
        <v>38.880000000000003</v>
      </c>
      <c r="E152" t="str">
        <f t="shared" ca="1" si="2"/>
        <v xml:space="preserve">              -144.5,38.88,0</v>
      </c>
    </row>
    <row r="153" spans="1:5" x14ac:dyDescent="0.35">
      <c r="A153" t="s">
        <v>42</v>
      </c>
      <c r="B153">
        <f>COUNTIFS(A$1:A153,A153)-1</f>
        <v>71</v>
      </c>
      <c r="C153" cm="1">
        <f t="array" aca="1" ref="C153" ca="1">_xlfn.XLOOKUP(B153,INDIRECT(A153&amp;"!A:A"),INDIRECT(A153&amp;"!B:B"),,0,1)</f>
        <v>-144.25</v>
      </c>
      <c r="D153" cm="1">
        <f t="array" aca="1" ref="D153" ca="1">_xlfn.XLOOKUP($B153,INDIRECT($A153&amp;"!A:A"),INDIRECT($A153&amp;"!E:E"),,0,1)</f>
        <v>38.700000000000003</v>
      </c>
      <c r="E153" t="str">
        <f t="shared" ca="1" si="2"/>
        <v xml:space="preserve">              -144.25,38.7,0</v>
      </c>
    </row>
    <row r="154" spans="1:5" x14ac:dyDescent="0.35">
      <c r="A154" t="s">
        <v>42</v>
      </c>
      <c r="B154">
        <f>COUNTIFS(A$1:A154,A154)-1</f>
        <v>72</v>
      </c>
      <c r="C154" cm="1">
        <f t="array" aca="1" ref="C154" ca="1">_xlfn.XLOOKUP(B154,INDIRECT(A154&amp;"!A:A"),INDIRECT(A154&amp;"!B:B"),,0,1)</f>
        <v>-144</v>
      </c>
      <c r="D154" cm="1">
        <f t="array" aca="1" ref="D154" ca="1">_xlfn.XLOOKUP($B154,INDIRECT($A154&amp;"!A:A"),INDIRECT($A154&amp;"!E:E"),,0,1)</f>
        <v>38.520000000000003</v>
      </c>
      <c r="E154" t="str">
        <f t="shared" ca="1" si="2"/>
        <v xml:space="preserve">              -144,38.52,0</v>
      </c>
    </row>
    <row r="155" spans="1:5" x14ac:dyDescent="0.35">
      <c r="A155" t="s">
        <v>42</v>
      </c>
      <c r="B155">
        <f>COUNTIFS(A$1:A155,A155)-1</f>
        <v>73</v>
      </c>
      <c r="C155" cm="1">
        <f t="array" aca="1" ref="C155" ca="1">_xlfn.XLOOKUP(B155,INDIRECT(A155&amp;"!A:A"),INDIRECT(A155&amp;"!B:B"),,0,1)</f>
        <v>-143.75</v>
      </c>
      <c r="D155" cm="1">
        <f t="array" aca="1" ref="D155" ca="1">_xlfn.XLOOKUP($B155,INDIRECT($A155&amp;"!A:A"),INDIRECT($A155&amp;"!E:E"),,0,1)</f>
        <v>38.340000000000003</v>
      </c>
      <c r="E155" t="str">
        <f t="shared" ca="1" si="2"/>
        <v xml:space="preserve">              -143.75,38.34,0</v>
      </c>
    </row>
    <row r="156" spans="1:5" x14ac:dyDescent="0.35">
      <c r="A156" t="s">
        <v>42</v>
      </c>
      <c r="B156">
        <f>COUNTIFS(A$1:A156,A156)-1</f>
        <v>74</v>
      </c>
      <c r="C156" cm="1">
        <f t="array" aca="1" ref="C156" ca="1">_xlfn.XLOOKUP(B156,INDIRECT(A156&amp;"!A:A"),INDIRECT(A156&amp;"!B:B"),,0,1)</f>
        <v>-143.5</v>
      </c>
      <c r="D156" cm="1">
        <f t="array" aca="1" ref="D156" ca="1">_xlfn.XLOOKUP($B156,INDIRECT($A156&amp;"!A:A"),INDIRECT($A156&amp;"!E:E"),,0,1)</f>
        <v>38.159999999999997</v>
      </c>
      <c r="E156" t="str">
        <f t="shared" ca="1" si="2"/>
        <v xml:space="preserve">              -143.5,38.16,0</v>
      </c>
    </row>
    <row r="157" spans="1:5" x14ac:dyDescent="0.35">
      <c r="A157" t="s">
        <v>42</v>
      </c>
      <c r="B157">
        <f>COUNTIFS(A$1:A157,A157)-1</f>
        <v>75</v>
      </c>
      <c r="C157" cm="1">
        <f t="array" aca="1" ref="C157" ca="1">_xlfn.XLOOKUP(B157,INDIRECT(A157&amp;"!A:A"),INDIRECT(A157&amp;"!B:B"),,0,1)</f>
        <v>-143.25</v>
      </c>
      <c r="D157" cm="1">
        <f t="array" aca="1" ref="D157" ca="1">_xlfn.XLOOKUP($B157,INDIRECT($A157&amp;"!A:A"),INDIRECT($A157&amp;"!E:E"),,0,1)</f>
        <v>37.979999999999997</v>
      </c>
      <c r="E157" t="str">
        <f t="shared" ca="1" si="2"/>
        <v xml:space="preserve">              -143.25,37.98,0</v>
      </c>
    </row>
    <row r="158" spans="1:5" x14ac:dyDescent="0.35">
      <c r="A158" t="s">
        <v>42</v>
      </c>
      <c r="B158">
        <f>COUNTIFS(A$1:A158,A158)-1</f>
        <v>76</v>
      </c>
      <c r="C158" cm="1">
        <f t="array" aca="1" ref="C158" ca="1">_xlfn.XLOOKUP(B158,INDIRECT(A158&amp;"!A:A"),INDIRECT(A158&amp;"!B:B"),,0,1)</f>
        <v>-143</v>
      </c>
      <c r="D158" cm="1">
        <f t="array" aca="1" ref="D158" ca="1">_xlfn.XLOOKUP($B158,INDIRECT($A158&amp;"!A:A"),INDIRECT($A158&amp;"!E:E"),,0,1)</f>
        <v>37.799999999999997</v>
      </c>
      <c r="E158" t="str">
        <f t="shared" ca="1" si="2"/>
        <v xml:space="preserve">              -143,37.8,0</v>
      </c>
    </row>
    <row r="159" spans="1:5" x14ac:dyDescent="0.35">
      <c r="A159" t="s">
        <v>42</v>
      </c>
      <c r="B159">
        <f>COUNTIFS(A$1:A159,A159)-1</f>
        <v>77</v>
      </c>
      <c r="C159" cm="1">
        <f t="array" aca="1" ref="C159" ca="1">_xlfn.XLOOKUP(B159,INDIRECT(A159&amp;"!A:A"),INDIRECT(A159&amp;"!B:B"),,0,1)</f>
        <v>-142.75</v>
      </c>
      <c r="D159" cm="1">
        <f t="array" aca="1" ref="D159" ca="1">_xlfn.XLOOKUP($B159,INDIRECT($A159&amp;"!A:A"),INDIRECT($A159&amp;"!E:E"),,0,1)</f>
        <v>37.61</v>
      </c>
      <c r="E159" t="str">
        <f t="shared" ca="1" si="2"/>
        <v xml:space="preserve">              -142.75,37.61,0</v>
      </c>
    </row>
    <row r="160" spans="1:5" x14ac:dyDescent="0.35">
      <c r="A160" t="s">
        <v>42</v>
      </c>
      <c r="B160">
        <f>COUNTIFS(A$1:A160,A160)-1</f>
        <v>78</v>
      </c>
      <c r="C160" cm="1">
        <f t="array" aca="1" ref="C160" ca="1">_xlfn.XLOOKUP(B160,INDIRECT(A160&amp;"!A:A"),INDIRECT(A160&amp;"!B:B"),,0,1)</f>
        <v>-142.5</v>
      </c>
      <c r="D160" cm="1">
        <f t="array" aca="1" ref="D160" ca="1">_xlfn.XLOOKUP($B160,INDIRECT($A160&amp;"!A:A"),INDIRECT($A160&amp;"!E:E"),,0,1)</f>
        <v>37.42</v>
      </c>
      <c r="E160" t="str">
        <f t="shared" ca="1" si="2"/>
        <v xml:space="preserve">              -142.5,37.42,0</v>
      </c>
    </row>
    <row r="161" spans="1:5" x14ac:dyDescent="0.35">
      <c r="A161" t="s">
        <v>42</v>
      </c>
      <c r="B161">
        <f>COUNTIFS(A$1:A161,A161)-1</f>
        <v>79</v>
      </c>
      <c r="C161" cm="1">
        <f t="array" aca="1" ref="C161" ca="1">_xlfn.XLOOKUP(B161,INDIRECT(A161&amp;"!A:A"),INDIRECT(A161&amp;"!B:B"),,0,1)</f>
        <v>-142.25</v>
      </c>
      <c r="D161" cm="1">
        <f t="array" aca="1" ref="D161" ca="1">_xlfn.XLOOKUP($B161,INDIRECT($A161&amp;"!A:A"),INDIRECT($A161&amp;"!E:E"),,0,1)</f>
        <v>37.229999999999997</v>
      </c>
      <c r="E161" t="str">
        <f t="shared" ca="1" si="2"/>
        <v xml:space="preserve">              -142.25,37.23,0</v>
      </c>
    </row>
    <row r="162" spans="1:5" x14ac:dyDescent="0.35">
      <c r="A162" t="s">
        <v>42</v>
      </c>
      <c r="B162">
        <f>COUNTIFS(A$1:A162,A162)-1</f>
        <v>80</v>
      </c>
      <c r="C162" cm="1">
        <f t="array" aca="1" ref="C162" ca="1">_xlfn.XLOOKUP(B162,INDIRECT(A162&amp;"!A:A"),INDIRECT(A162&amp;"!B:B"),,0,1)</f>
        <v>-142</v>
      </c>
      <c r="D162" cm="1">
        <f t="array" aca="1" ref="D162" ca="1">_xlfn.XLOOKUP($B162,INDIRECT($A162&amp;"!A:A"),INDIRECT($A162&amp;"!E:E"),,0,1)</f>
        <v>37.04</v>
      </c>
      <c r="E162" t="str">
        <f t="shared" ca="1" si="2"/>
        <v xml:space="preserve">              -142,37.04,0</v>
      </c>
    </row>
    <row r="163" spans="1:5" x14ac:dyDescent="0.35">
      <c r="A163" t="s">
        <v>42</v>
      </c>
      <c r="B163">
        <f>COUNTIFS(A$1:A163,A163)-1</f>
        <v>81</v>
      </c>
      <c r="C163" cm="1">
        <f t="array" aca="1" ref="C163" ca="1">_xlfn.XLOOKUP(B163,INDIRECT(A163&amp;"!A:A"),INDIRECT(A163&amp;"!B:B"),,0,1)</f>
        <v>-141.75</v>
      </c>
      <c r="D163" cm="1">
        <f t="array" aca="1" ref="D163" ca="1">_xlfn.XLOOKUP($B163,INDIRECT($A163&amp;"!A:A"),INDIRECT($A163&amp;"!E:E"),,0,1)</f>
        <v>36.85</v>
      </c>
      <c r="E163" t="str">
        <f t="shared" ca="1" si="2"/>
        <v xml:space="preserve">              -141.75,36.85,0</v>
      </c>
    </row>
    <row r="164" spans="1:5" x14ac:dyDescent="0.35">
      <c r="A164" t="s">
        <v>42</v>
      </c>
      <c r="B164">
        <f>COUNTIFS(A$1:A164,A164)-1</f>
        <v>82</v>
      </c>
      <c r="C164" cm="1">
        <f t="array" aca="1" ref="C164" ca="1">_xlfn.XLOOKUP(B164,INDIRECT(A164&amp;"!A:A"),INDIRECT(A164&amp;"!B:B"),,0,1)</f>
        <v>-141.5</v>
      </c>
      <c r="D164" cm="1">
        <f t="array" aca="1" ref="D164" ca="1">_xlfn.XLOOKUP($B164,INDIRECT($A164&amp;"!A:A"),INDIRECT($A164&amp;"!E:E"),,0,1)</f>
        <v>36.659999999999997</v>
      </c>
      <c r="E164" t="str">
        <f t="shared" ca="1" si="2"/>
        <v xml:space="preserve">              -141.5,36.66,0</v>
      </c>
    </row>
    <row r="165" spans="1:5" x14ac:dyDescent="0.35">
      <c r="A165" t="s">
        <v>42</v>
      </c>
      <c r="B165">
        <f>COUNTIFS(A$1:A165,A165)-1</f>
        <v>83</v>
      </c>
      <c r="C165" cm="1">
        <f t="array" aca="1" ref="C165" ca="1">_xlfn.XLOOKUP(B165,INDIRECT(A165&amp;"!A:A"),INDIRECT(A165&amp;"!B:B"),,0,1)</f>
        <v>-141.25</v>
      </c>
      <c r="D165" cm="1">
        <f t="array" aca="1" ref="D165" ca="1">_xlfn.XLOOKUP($B165,INDIRECT($A165&amp;"!A:A"),INDIRECT($A165&amp;"!E:E"),,0,1)</f>
        <v>36.47</v>
      </c>
      <c r="E165" t="str">
        <f t="shared" ca="1" si="2"/>
        <v xml:space="preserve">              -141.25,36.47,0</v>
      </c>
    </row>
    <row r="166" spans="1:5" x14ac:dyDescent="0.35">
      <c r="A166" t="s">
        <v>42</v>
      </c>
      <c r="B166">
        <f>COUNTIFS(A$1:A166,A166)-1</f>
        <v>84</v>
      </c>
      <c r="C166" cm="1">
        <f t="array" aca="1" ref="C166" ca="1">_xlfn.XLOOKUP(B166,INDIRECT(A166&amp;"!A:A"),INDIRECT(A166&amp;"!B:B"),,0,1)</f>
        <v>-141</v>
      </c>
      <c r="D166" cm="1">
        <f t="array" aca="1" ref="D166" ca="1">_xlfn.XLOOKUP($B166,INDIRECT($A166&amp;"!A:A"),INDIRECT($A166&amp;"!E:E"),,0,1)</f>
        <v>36.270000000000003</v>
      </c>
      <c r="E166" t="str">
        <f t="shared" ca="1" si="2"/>
        <v xml:space="preserve">              -141,36.27,0</v>
      </c>
    </row>
    <row r="167" spans="1:5" x14ac:dyDescent="0.35">
      <c r="A167" t="s">
        <v>42</v>
      </c>
      <c r="B167">
        <f>COUNTIFS(A$1:A167,A167)-1</f>
        <v>85</v>
      </c>
      <c r="C167" cm="1">
        <f t="array" aca="1" ref="C167" ca="1">_xlfn.XLOOKUP(B167,INDIRECT(A167&amp;"!A:A"),INDIRECT(A167&amp;"!B:B"),,0,1)</f>
        <v>-140.75</v>
      </c>
      <c r="D167" cm="1">
        <f t="array" aca="1" ref="D167" ca="1">_xlfn.XLOOKUP($B167,INDIRECT($A167&amp;"!A:A"),INDIRECT($A167&amp;"!E:E"),,0,1)</f>
        <v>36.07</v>
      </c>
      <c r="E167" t="str">
        <f t="shared" ca="1" si="2"/>
        <v xml:space="preserve">              -140.75,36.07,0</v>
      </c>
    </row>
    <row r="168" spans="1:5" x14ac:dyDescent="0.35">
      <c r="A168" t="s">
        <v>42</v>
      </c>
      <c r="B168">
        <f>COUNTIFS(A$1:A168,A168)-1</f>
        <v>86</v>
      </c>
      <c r="C168" cm="1">
        <f t="array" aca="1" ref="C168" ca="1">_xlfn.XLOOKUP(B168,INDIRECT(A168&amp;"!A:A"),INDIRECT(A168&amp;"!B:B"),,0,1)</f>
        <v>-140.5</v>
      </c>
      <c r="D168" cm="1">
        <f t="array" aca="1" ref="D168" ca="1">_xlfn.XLOOKUP($B168,INDIRECT($A168&amp;"!A:A"),INDIRECT($A168&amp;"!E:E"),,0,1)</f>
        <v>35.869999999999997</v>
      </c>
      <c r="E168" t="str">
        <f t="shared" ca="1" si="2"/>
        <v xml:space="preserve">              -140.5,35.87,0</v>
      </c>
    </row>
    <row r="169" spans="1:5" x14ac:dyDescent="0.35">
      <c r="A169" t="s">
        <v>42</v>
      </c>
      <c r="B169">
        <f>COUNTIFS(A$1:A169,A169)-1</f>
        <v>87</v>
      </c>
      <c r="C169" cm="1">
        <f t="array" aca="1" ref="C169" ca="1">_xlfn.XLOOKUP(B169,INDIRECT(A169&amp;"!A:A"),INDIRECT(A169&amp;"!B:B"),,0,1)</f>
        <v>-140.25</v>
      </c>
      <c r="D169" cm="1">
        <f t="array" aca="1" ref="D169" ca="1">_xlfn.XLOOKUP($B169,INDIRECT($A169&amp;"!A:A"),INDIRECT($A169&amp;"!E:E"),,0,1)</f>
        <v>35.67</v>
      </c>
      <c r="E169" t="str">
        <f t="shared" ref="E169:E232" ca="1" si="3">"              "&amp;C169&amp;","&amp;D169&amp;",0"</f>
        <v xml:space="preserve">              -140.25,35.67,0</v>
      </c>
    </row>
    <row r="170" spans="1:5" x14ac:dyDescent="0.35">
      <c r="A170" t="s">
        <v>42</v>
      </c>
      <c r="B170">
        <f>COUNTIFS(A$1:A170,A170)-1</f>
        <v>88</v>
      </c>
      <c r="C170" cm="1">
        <f t="array" aca="1" ref="C170" ca="1">_xlfn.XLOOKUP(B170,INDIRECT(A170&amp;"!A:A"),INDIRECT(A170&amp;"!B:B"),,0,1)</f>
        <v>-140</v>
      </c>
      <c r="D170" cm="1">
        <f t="array" aca="1" ref="D170" ca="1">_xlfn.XLOOKUP($B170,INDIRECT($A170&amp;"!A:A"),INDIRECT($A170&amp;"!E:E"),,0,1)</f>
        <v>35.47</v>
      </c>
      <c r="E170" t="str">
        <f t="shared" ca="1" si="3"/>
        <v xml:space="preserve">              -140,35.47,0</v>
      </c>
    </row>
    <row r="171" spans="1:5" x14ac:dyDescent="0.35">
      <c r="A171" t="s">
        <v>42</v>
      </c>
      <c r="B171">
        <f>COUNTIFS(A$1:A171,A171)-1</f>
        <v>89</v>
      </c>
      <c r="C171" cm="1">
        <f t="array" aca="1" ref="C171" ca="1">_xlfn.XLOOKUP(B171,INDIRECT(A171&amp;"!A:A"),INDIRECT(A171&amp;"!B:B"),,0,1)</f>
        <v>-139.75</v>
      </c>
      <c r="D171" cm="1">
        <f t="array" aca="1" ref="D171" ca="1">_xlfn.XLOOKUP($B171,INDIRECT($A171&amp;"!A:A"),INDIRECT($A171&amp;"!E:E"),,0,1)</f>
        <v>35.270000000000003</v>
      </c>
      <c r="E171" t="str">
        <f t="shared" ca="1" si="3"/>
        <v xml:space="preserve">              -139.75,35.27,0</v>
      </c>
    </row>
    <row r="172" spans="1:5" x14ac:dyDescent="0.35">
      <c r="A172" t="s">
        <v>42</v>
      </c>
      <c r="B172">
        <f>COUNTIFS(A$1:A172,A172)-1</f>
        <v>90</v>
      </c>
      <c r="C172" cm="1">
        <f t="array" aca="1" ref="C172" ca="1">_xlfn.XLOOKUP(B172,INDIRECT(A172&amp;"!A:A"),INDIRECT(A172&amp;"!B:B"),,0,1)</f>
        <v>-139.5</v>
      </c>
      <c r="D172" cm="1">
        <f t="array" aca="1" ref="D172" ca="1">_xlfn.XLOOKUP($B172,INDIRECT($A172&amp;"!A:A"),INDIRECT($A172&amp;"!E:E"),,0,1)</f>
        <v>35.06</v>
      </c>
      <c r="E172" t="str">
        <f t="shared" ca="1" si="3"/>
        <v xml:space="preserve">              -139.5,35.06,0</v>
      </c>
    </row>
    <row r="173" spans="1:5" x14ac:dyDescent="0.35">
      <c r="A173" t="s">
        <v>42</v>
      </c>
      <c r="B173">
        <f>COUNTIFS(A$1:A173,A173)-1</f>
        <v>91</v>
      </c>
      <c r="C173" cm="1">
        <f t="array" aca="1" ref="C173" ca="1">_xlfn.XLOOKUP(B173,INDIRECT(A173&amp;"!A:A"),INDIRECT(A173&amp;"!B:B"),,0,1)</f>
        <v>-139.25</v>
      </c>
      <c r="D173" cm="1">
        <f t="array" aca="1" ref="D173" ca="1">_xlfn.XLOOKUP($B173,INDIRECT($A173&amp;"!A:A"),INDIRECT($A173&amp;"!E:E"),,0,1)</f>
        <v>34.86</v>
      </c>
      <c r="E173" t="str">
        <f t="shared" ca="1" si="3"/>
        <v xml:space="preserve">              -139.25,34.86,0</v>
      </c>
    </row>
    <row r="174" spans="1:5" x14ac:dyDescent="0.35">
      <c r="A174" t="s">
        <v>42</v>
      </c>
      <c r="B174">
        <f>COUNTIFS(A$1:A174,A174)-1</f>
        <v>92</v>
      </c>
      <c r="C174" cm="1">
        <f t="array" aca="1" ref="C174" ca="1">_xlfn.XLOOKUP(B174,INDIRECT(A174&amp;"!A:A"),INDIRECT(A174&amp;"!B:B"),,0,1)</f>
        <v>-139</v>
      </c>
      <c r="D174" cm="1">
        <f t="array" aca="1" ref="D174" ca="1">_xlfn.XLOOKUP($B174,INDIRECT($A174&amp;"!A:A"),INDIRECT($A174&amp;"!E:E"),,0,1)</f>
        <v>34.65</v>
      </c>
      <c r="E174" t="str">
        <f t="shared" ca="1" si="3"/>
        <v xml:space="preserve">              -139,34.65,0</v>
      </c>
    </row>
    <row r="175" spans="1:5" x14ac:dyDescent="0.35">
      <c r="A175" t="s">
        <v>42</v>
      </c>
      <c r="B175">
        <f>COUNTIFS(A$1:A175,A175)-1</f>
        <v>93</v>
      </c>
      <c r="C175" cm="1">
        <f t="array" aca="1" ref="C175" ca="1">_xlfn.XLOOKUP(B175,INDIRECT(A175&amp;"!A:A"),INDIRECT(A175&amp;"!B:B"),,0,1)</f>
        <v>-138.75</v>
      </c>
      <c r="D175" cm="1">
        <f t="array" aca="1" ref="D175" ca="1">_xlfn.XLOOKUP($B175,INDIRECT($A175&amp;"!A:A"),INDIRECT($A175&amp;"!E:E"),,0,1)</f>
        <v>34.44</v>
      </c>
      <c r="E175" t="str">
        <f t="shared" ca="1" si="3"/>
        <v xml:space="preserve">              -138.75,34.44,0</v>
      </c>
    </row>
    <row r="176" spans="1:5" x14ac:dyDescent="0.35">
      <c r="A176" t="s">
        <v>42</v>
      </c>
      <c r="B176">
        <f>COUNTIFS(A$1:A176,A176)-1</f>
        <v>94</v>
      </c>
      <c r="C176" cm="1">
        <f t="array" aca="1" ref="C176" ca="1">_xlfn.XLOOKUP(B176,INDIRECT(A176&amp;"!A:A"),INDIRECT(A176&amp;"!B:B"),,0,1)</f>
        <v>-138.5</v>
      </c>
      <c r="D176" cm="1">
        <f t="array" aca="1" ref="D176" ca="1">_xlfn.XLOOKUP($B176,INDIRECT($A176&amp;"!A:A"),INDIRECT($A176&amp;"!E:E"),,0,1)</f>
        <v>34.229999999999997</v>
      </c>
      <c r="E176" t="str">
        <f t="shared" ca="1" si="3"/>
        <v xml:space="preserve">              -138.5,34.23,0</v>
      </c>
    </row>
    <row r="177" spans="1:5" x14ac:dyDescent="0.35">
      <c r="A177" t="s">
        <v>42</v>
      </c>
      <c r="B177">
        <f>COUNTIFS(A$1:A177,A177)-1</f>
        <v>95</v>
      </c>
      <c r="C177" cm="1">
        <f t="array" aca="1" ref="C177" ca="1">_xlfn.XLOOKUP(B177,INDIRECT(A177&amp;"!A:A"),INDIRECT(A177&amp;"!B:B"),,0,1)</f>
        <v>-138.25</v>
      </c>
      <c r="D177" cm="1">
        <f t="array" aca="1" ref="D177" ca="1">_xlfn.XLOOKUP($B177,INDIRECT($A177&amp;"!A:A"),INDIRECT($A177&amp;"!E:E"),,0,1)</f>
        <v>34.020000000000003</v>
      </c>
      <c r="E177" t="str">
        <f t="shared" ca="1" si="3"/>
        <v xml:space="preserve">              -138.25,34.02,0</v>
      </c>
    </row>
    <row r="178" spans="1:5" x14ac:dyDescent="0.35">
      <c r="A178" t="s">
        <v>42</v>
      </c>
      <c r="B178">
        <f>COUNTIFS(A$1:A178,A178)-1</f>
        <v>96</v>
      </c>
      <c r="C178" cm="1">
        <f t="array" aca="1" ref="C178" ca="1">_xlfn.XLOOKUP(B178,INDIRECT(A178&amp;"!A:A"),INDIRECT(A178&amp;"!B:B"),,0,1)</f>
        <v>-138</v>
      </c>
      <c r="D178" cm="1">
        <f t="array" aca="1" ref="D178" ca="1">_xlfn.XLOOKUP($B178,INDIRECT($A178&amp;"!A:A"),INDIRECT($A178&amp;"!E:E"),,0,1)</f>
        <v>33.799999999999997</v>
      </c>
      <c r="E178" t="str">
        <f t="shared" ca="1" si="3"/>
        <v xml:space="preserve">              -138,33.8,0</v>
      </c>
    </row>
    <row r="179" spans="1:5" x14ac:dyDescent="0.35">
      <c r="A179" t="s">
        <v>42</v>
      </c>
      <c r="B179">
        <f>COUNTIFS(A$1:A179,A179)-1</f>
        <v>97</v>
      </c>
      <c r="C179" cm="1">
        <f t="array" aca="1" ref="C179" ca="1">_xlfn.XLOOKUP(B179,INDIRECT(A179&amp;"!A:A"),INDIRECT(A179&amp;"!B:B"),,0,1)</f>
        <v>-137.75</v>
      </c>
      <c r="D179" cm="1">
        <f t="array" aca="1" ref="D179" ca="1">_xlfn.XLOOKUP($B179,INDIRECT($A179&amp;"!A:A"),INDIRECT($A179&amp;"!E:E"),,0,1)</f>
        <v>33.590000000000003</v>
      </c>
      <c r="E179" t="str">
        <f t="shared" ca="1" si="3"/>
        <v xml:space="preserve">              -137.75,33.59,0</v>
      </c>
    </row>
    <row r="180" spans="1:5" x14ac:dyDescent="0.35">
      <c r="A180" t="s">
        <v>42</v>
      </c>
      <c r="B180">
        <f>COUNTIFS(A$1:A180,A180)-1</f>
        <v>98</v>
      </c>
      <c r="C180" cm="1">
        <f t="array" aca="1" ref="C180" ca="1">_xlfn.XLOOKUP(B180,INDIRECT(A180&amp;"!A:A"),INDIRECT(A180&amp;"!B:B"),,0,1)</f>
        <v>-137.5</v>
      </c>
      <c r="D180" cm="1">
        <f t="array" aca="1" ref="D180" ca="1">_xlfn.XLOOKUP($B180,INDIRECT($A180&amp;"!A:A"),INDIRECT($A180&amp;"!E:E"),,0,1)</f>
        <v>33.369999999999997</v>
      </c>
      <c r="E180" t="str">
        <f t="shared" ca="1" si="3"/>
        <v xml:space="preserve">              -137.5,33.37,0</v>
      </c>
    </row>
    <row r="181" spans="1:5" x14ac:dyDescent="0.35">
      <c r="A181" t="s">
        <v>42</v>
      </c>
      <c r="B181">
        <f>COUNTIFS(A$1:A181,A181)-1</f>
        <v>99</v>
      </c>
      <c r="C181" cm="1">
        <f t="array" aca="1" ref="C181" ca="1">_xlfn.XLOOKUP(B181,INDIRECT(A181&amp;"!A:A"),INDIRECT(A181&amp;"!B:B"),,0,1)</f>
        <v>-137.25</v>
      </c>
      <c r="D181" cm="1">
        <f t="array" aca="1" ref="D181" ca="1">_xlfn.XLOOKUP($B181,INDIRECT($A181&amp;"!A:A"),INDIRECT($A181&amp;"!E:E"),,0,1)</f>
        <v>33.15</v>
      </c>
      <c r="E181" t="str">
        <f t="shared" ca="1" si="3"/>
        <v xml:space="preserve">              -137.25,33.15,0</v>
      </c>
    </row>
    <row r="182" spans="1:5" x14ac:dyDescent="0.35">
      <c r="A182" t="s">
        <v>42</v>
      </c>
      <c r="B182">
        <f>COUNTIFS(A$1:A182,A182)-1</f>
        <v>100</v>
      </c>
      <c r="C182" cm="1">
        <f t="array" aca="1" ref="C182" ca="1">_xlfn.XLOOKUP(B182,INDIRECT(A182&amp;"!A:A"),INDIRECT(A182&amp;"!B:B"),,0,1)</f>
        <v>-137</v>
      </c>
      <c r="D182" cm="1">
        <f t="array" aca="1" ref="D182" ca="1">_xlfn.XLOOKUP($B182,INDIRECT($A182&amp;"!A:A"),INDIRECT($A182&amp;"!E:E"),,0,1)</f>
        <v>32.93</v>
      </c>
      <c r="E182" t="str">
        <f t="shared" ca="1" si="3"/>
        <v xml:space="preserve">              -137,32.93,0</v>
      </c>
    </row>
    <row r="183" spans="1:5" x14ac:dyDescent="0.35">
      <c r="A183" t="s">
        <v>42</v>
      </c>
      <c r="B183">
        <f>COUNTIFS(A$1:A183,A183)-1</f>
        <v>101</v>
      </c>
      <c r="C183" cm="1">
        <f t="array" aca="1" ref="C183" ca="1">_xlfn.XLOOKUP(B183,INDIRECT(A183&amp;"!A:A"),INDIRECT(A183&amp;"!B:B"),,0,1)</f>
        <v>-136.75</v>
      </c>
      <c r="D183" cm="1">
        <f t="array" aca="1" ref="D183" ca="1">_xlfn.XLOOKUP($B183,INDIRECT($A183&amp;"!A:A"),INDIRECT($A183&amp;"!E:E"),,0,1)</f>
        <v>32.71</v>
      </c>
      <c r="E183" t="str">
        <f t="shared" ca="1" si="3"/>
        <v xml:space="preserve">              -136.75,32.71,0</v>
      </c>
    </row>
    <row r="184" spans="1:5" x14ac:dyDescent="0.35">
      <c r="A184" t="s">
        <v>42</v>
      </c>
      <c r="B184">
        <f>COUNTIFS(A$1:A184,A184)-1</f>
        <v>102</v>
      </c>
      <c r="C184" cm="1">
        <f t="array" aca="1" ref="C184" ca="1">_xlfn.XLOOKUP(B184,INDIRECT(A184&amp;"!A:A"),INDIRECT(A184&amp;"!B:B"),,0,1)</f>
        <v>-136.5</v>
      </c>
      <c r="D184" cm="1">
        <f t="array" aca="1" ref="D184" ca="1">_xlfn.XLOOKUP($B184,INDIRECT($A184&amp;"!A:A"),INDIRECT($A184&amp;"!E:E"),,0,1)</f>
        <v>32.479999999999997</v>
      </c>
      <c r="E184" t="str">
        <f t="shared" ca="1" si="3"/>
        <v xml:space="preserve">              -136.5,32.48,0</v>
      </c>
    </row>
    <row r="185" spans="1:5" x14ac:dyDescent="0.35">
      <c r="A185" t="s">
        <v>42</v>
      </c>
      <c r="B185">
        <f>COUNTIFS(A$1:A185,A185)-1</f>
        <v>103</v>
      </c>
      <c r="C185" cm="1">
        <f t="array" aca="1" ref="C185" ca="1">_xlfn.XLOOKUP(B185,INDIRECT(A185&amp;"!A:A"),INDIRECT(A185&amp;"!B:B"),,0,1)</f>
        <v>-136.25</v>
      </c>
      <c r="D185" cm="1">
        <f t="array" aca="1" ref="D185" ca="1">_xlfn.XLOOKUP($B185,INDIRECT($A185&amp;"!A:A"),INDIRECT($A185&amp;"!E:E"),,0,1)</f>
        <v>32.26</v>
      </c>
      <c r="E185" t="str">
        <f t="shared" ca="1" si="3"/>
        <v xml:space="preserve">              -136.25,32.26,0</v>
      </c>
    </row>
    <row r="186" spans="1:5" x14ac:dyDescent="0.35">
      <c r="A186" t="s">
        <v>42</v>
      </c>
      <c r="B186">
        <f>COUNTIFS(A$1:A186,A186)-1</f>
        <v>104</v>
      </c>
      <c r="C186" cm="1">
        <f t="array" aca="1" ref="C186" ca="1">_xlfn.XLOOKUP(B186,INDIRECT(A186&amp;"!A:A"),INDIRECT(A186&amp;"!B:B"),,0,1)</f>
        <v>-136</v>
      </c>
      <c r="D186" cm="1">
        <f t="array" aca="1" ref="D186" ca="1">_xlfn.XLOOKUP($B186,INDIRECT($A186&amp;"!A:A"),INDIRECT($A186&amp;"!E:E"),,0,1)</f>
        <v>32.03</v>
      </c>
      <c r="E186" t="str">
        <f t="shared" ca="1" si="3"/>
        <v xml:space="preserve">              -136,32.03,0</v>
      </c>
    </row>
    <row r="187" spans="1:5" x14ac:dyDescent="0.35">
      <c r="A187" t="s">
        <v>42</v>
      </c>
      <c r="B187">
        <f>COUNTIFS(A$1:A187,A187)-1</f>
        <v>105</v>
      </c>
      <c r="C187" cm="1">
        <f t="array" aca="1" ref="C187" ca="1">_xlfn.XLOOKUP(B187,INDIRECT(A187&amp;"!A:A"),INDIRECT(A187&amp;"!B:B"),,0,1)</f>
        <v>-135.75</v>
      </c>
      <c r="D187" cm="1">
        <f t="array" aca="1" ref="D187" ca="1">_xlfn.XLOOKUP($B187,INDIRECT($A187&amp;"!A:A"),INDIRECT($A187&amp;"!E:E"),,0,1)</f>
        <v>31.8</v>
      </c>
      <c r="E187" t="str">
        <f t="shared" ca="1" si="3"/>
        <v xml:space="preserve">              -135.75,31.8,0</v>
      </c>
    </row>
    <row r="188" spans="1:5" x14ac:dyDescent="0.35">
      <c r="A188" t="s">
        <v>42</v>
      </c>
      <c r="B188">
        <f>COUNTIFS(A$1:A188,A188)-1</f>
        <v>106</v>
      </c>
      <c r="C188" cm="1">
        <f t="array" aca="1" ref="C188" ca="1">_xlfn.XLOOKUP(B188,INDIRECT(A188&amp;"!A:A"),INDIRECT(A188&amp;"!B:B"),,0,1)</f>
        <v>-135.5</v>
      </c>
      <c r="D188" cm="1">
        <f t="array" aca="1" ref="D188" ca="1">_xlfn.XLOOKUP($B188,INDIRECT($A188&amp;"!A:A"),INDIRECT($A188&amp;"!E:E"),,0,1)</f>
        <v>31.57</v>
      </c>
      <c r="E188" t="str">
        <f t="shared" ca="1" si="3"/>
        <v xml:space="preserve">              -135.5,31.57,0</v>
      </c>
    </row>
    <row r="189" spans="1:5" x14ac:dyDescent="0.35">
      <c r="A189" t="s">
        <v>42</v>
      </c>
      <c r="B189">
        <f>COUNTIFS(A$1:A189,A189)-1</f>
        <v>107</v>
      </c>
      <c r="C189" cm="1">
        <f t="array" aca="1" ref="C189" ca="1">_xlfn.XLOOKUP(B189,INDIRECT(A189&amp;"!A:A"),INDIRECT(A189&amp;"!B:B"),,0,1)</f>
        <v>-135.25</v>
      </c>
      <c r="D189" cm="1">
        <f t="array" aca="1" ref="D189" ca="1">_xlfn.XLOOKUP($B189,INDIRECT($A189&amp;"!A:A"),INDIRECT($A189&amp;"!E:E"),,0,1)</f>
        <v>31.34</v>
      </c>
      <c r="E189" t="str">
        <f t="shared" ca="1" si="3"/>
        <v xml:space="preserve">              -135.25,31.34,0</v>
      </c>
    </row>
    <row r="190" spans="1:5" x14ac:dyDescent="0.35">
      <c r="A190" t="s">
        <v>42</v>
      </c>
      <c r="B190">
        <f>COUNTIFS(A$1:A190,A190)-1</f>
        <v>108</v>
      </c>
      <c r="C190" cm="1">
        <f t="array" aca="1" ref="C190" ca="1">_xlfn.XLOOKUP(B190,INDIRECT(A190&amp;"!A:A"),INDIRECT(A190&amp;"!B:B"),,0,1)</f>
        <v>-135</v>
      </c>
      <c r="D190" cm="1">
        <f t="array" aca="1" ref="D190" ca="1">_xlfn.XLOOKUP($B190,INDIRECT($A190&amp;"!A:A"),INDIRECT($A190&amp;"!E:E"),,0,1)</f>
        <v>31.1</v>
      </c>
      <c r="E190" t="str">
        <f t="shared" ca="1" si="3"/>
        <v xml:space="preserve">              -135,31.1,0</v>
      </c>
    </row>
    <row r="191" spans="1:5" x14ac:dyDescent="0.35">
      <c r="A191" t="s">
        <v>42</v>
      </c>
      <c r="B191">
        <f>COUNTIFS(A$1:A191,A191)-1</f>
        <v>109</v>
      </c>
      <c r="C191" cm="1">
        <f t="array" aca="1" ref="C191" ca="1">_xlfn.XLOOKUP(B191,INDIRECT(A191&amp;"!A:A"),INDIRECT(A191&amp;"!B:B"),,0,1)</f>
        <v>-134.75</v>
      </c>
      <c r="D191" cm="1">
        <f t="array" aca="1" ref="D191" ca="1">_xlfn.XLOOKUP($B191,INDIRECT($A191&amp;"!A:A"),INDIRECT($A191&amp;"!E:E"),,0,1)</f>
        <v>30.87</v>
      </c>
      <c r="E191" t="str">
        <f t="shared" ca="1" si="3"/>
        <v xml:space="preserve">              -134.75,30.87,0</v>
      </c>
    </row>
    <row r="192" spans="1:5" x14ac:dyDescent="0.35">
      <c r="A192" t="s">
        <v>42</v>
      </c>
      <c r="B192">
        <f>COUNTIFS(A$1:A192,A192)-1</f>
        <v>110</v>
      </c>
      <c r="C192" cm="1">
        <f t="array" aca="1" ref="C192" ca="1">_xlfn.XLOOKUP(B192,INDIRECT(A192&amp;"!A:A"),INDIRECT(A192&amp;"!B:B"),,0,1)</f>
        <v>-134.5</v>
      </c>
      <c r="D192" cm="1">
        <f t="array" aca="1" ref="D192" ca="1">_xlfn.XLOOKUP($B192,INDIRECT($A192&amp;"!A:A"),INDIRECT($A192&amp;"!E:E"),,0,1)</f>
        <v>30.63</v>
      </c>
      <c r="E192" t="str">
        <f t="shared" ca="1" si="3"/>
        <v xml:space="preserve">              -134.5,30.63,0</v>
      </c>
    </row>
    <row r="193" spans="1:5" x14ac:dyDescent="0.35">
      <c r="A193" t="s">
        <v>42</v>
      </c>
      <c r="B193">
        <f>COUNTIFS(A$1:A193,A193)-1</f>
        <v>111</v>
      </c>
      <c r="C193" cm="1">
        <f t="array" aca="1" ref="C193" ca="1">_xlfn.XLOOKUP(B193,INDIRECT(A193&amp;"!A:A"),INDIRECT(A193&amp;"!B:B"),,0,1)</f>
        <v>-134.25</v>
      </c>
      <c r="D193" cm="1">
        <f t="array" aca="1" ref="D193" ca="1">_xlfn.XLOOKUP($B193,INDIRECT($A193&amp;"!A:A"),INDIRECT($A193&amp;"!E:E"),,0,1)</f>
        <v>30.39</v>
      </c>
      <c r="E193" t="str">
        <f t="shared" ca="1" si="3"/>
        <v xml:space="preserve">              -134.25,30.39,0</v>
      </c>
    </row>
    <row r="194" spans="1:5" x14ac:dyDescent="0.35">
      <c r="A194" t="s">
        <v>42</v>
      </c>
      <c r="B194">
        <f>COUNTIFS(A$1:A194,A194)-1</f>
        <v>112</v>
      </c>
      <c r="C194" cm="1">
        <f t="array" aca="1" ref="C194" ca="1">_xlfn.XLOOKUP(B194,INDIRECT(A194&amp;"!A:A"),INDIRECT(A194&amp;"!B:B"),,0,1)</f>
        <v>-134</v>
      </c>
      <c r="D194" cm="1">
        <f t="array" aca="1" ref="D194" ca="1">_xlfn.XLOOKUP($B194,INDIRECT($A194&amp;"!A:A"),INDIRECT($A194&amp;"!E:E"),,0,1)</f>
        <v>30.15</v>
      </c>
      <c r="E194" t="str">
        <f t="shared" ca="1" si="3"/>
        <v xml:space="preserve">              -134,30.15,0</v>
      </c>
    </row>
    <row r="195" spans="1:5" x14ac:dyDescent="0.35">
      <c r="A195" t="s">
        <v>42</v>
      </c>
      <c r="B195">
        <f>COUNTIFS(A$1:A195,A195)-1</f>
        <v>113</v>
      </c>
      <c r="C195" cm="1">
        <f t="array" aca="1" ref="C195" ca="1">_xlfn.XLOOKUP(B195,INDIRECT(A195&amp;"!A:A"),INDIRECT(A195&amp;"!B:B"),,0,1)</f>
        <v>-133.75</v>
      </c>
      <c r="D195" cm="1">
        <f t="array" aca="1" ref="D195" ca="1">_xlfn.XLOOKUP($B195,INDIRECT($A195&amp;"!A:A"),INDIRECT($A195&amp;"!E:E"),,0,1)</f>
        <v>29.91</v>
      </c>
      <c r="E195" t="str">
        <f t="shared" ca="1" si="3"/>
        <v xml:space="preserve">              -133.75,29.91,0</v>
      </c>
    </row>
    <row r="196" spans="1:5" x14ac:dyDescent="0.35">
      <c r="A196" t="s">
        <v>42</v>
      </c>
      <c r="B196">
        <f>COUNTIFS(A$1:A196,A196)-1</f>
        <v>114</v>
      </c>
      <c r="C196" cm="1">
        <f t="array" aca="1" ref="C196" ca="1">_xlfn.XLOOKUP(B196,INDIRECT(A196&amp;"!A:A"),INDIRECT(A196&amp;"!B:B"),,0,1)</f>
        <v>-133.5</v>
      </c>
      <c r="D196" cm="1">
        <f t="array" aca="1" ref="D196" ca="1">_xlfn.XLOOKUP($B196,INDIRECT($A196&amp;"!A:A"),INDIRECT($A196&amp;"!E:E"),,0,1)</f>
        <v>29.67</v>
      </c>
      <c r="E196" t="str">
        <f t="shared" ca="1" si="3"/>
        <v xml:space="preserve">              -133.5,29.67,0</v>
      </c>
    </row>
    <row r="197" spans="1:5" x14ac:dyDescent="0.35">
      <c r="A197" t="s">
        <v>42</v>
      </c>
      <c r="B197">
        <f>COUNTIFS(A$1:A197,A197)-1</f>
        <v>115</v>
      </c>
      <c r="C197" cm="1">
        <f t="array" aca="1" ref="C197" ca="1">_xlfn.XLOOKUP(B197,INDIRECT(A197&amp;"!A:A"),INDIRECT(A197&amp;"!B:B"),,0,1)</f>
        <v>-133.25</v>
      </c>
      <c r="D197" cm="1">
        <f t="array" aca="1" ref="D197" ca="1">_xlfn.XLOOKUP($B197,INDIRECT($A197&amp;"!A:A"),INDIRECT($A197&amp;"!E:E"),,0,1)</f>
        <v>29.42</v>
      </c>
      <c r="E197" t="str">
        <f t="shared" ca="1" si="3"/>
        <v xml:space="preserve">              -133.25,29.42,0</v>
      </c>
    </row>
    <row r="198" spans="1:5" x14ac:dyDescent="0.35">
      <c r="A198" t="s">
        <v>42</v>
      </c>
      <c r="B198">
        <f>COUNTIFS(A$1:A198,A198)-1</f>
        <v>116</v>
      </c>
      <c r="C198" cm="1">
        <f t="array" aca="1" ref="C198" ca="1">_xlfn.XLOOKUP(B198,INDIRECT(A198&amp;"!A:A"),INDIRECT(A198&amp;"!B:B"),,0,1)</f>
        <v>-133</v>
      </c>
      <c r="D198" cm="1">
        <f t="array" aca="1" ref="D198" ca="1">_xlfn.XLOOKUP($B198,INDIRECT($A198&amp;"!A:A"),INDIRECT($A198&amp;"!E:E"),,0,1)</f>
        <v>29.18</v>
      </c>
      <c r="E198" t="str">
        <f t="shared" ca="1" si="3"/>
        <v xml:space="preserve">              -133,29.18,0</v>
      </c>
    </row>
    <row r="199" spans="1:5" x14ac:dyDescent="0.35">
      <c r="A199" t="s">
        <v>42</v>
      </c>
      <c r="B199">
        <f>COUNTIFS(A$1:A199,A199)-1</f>
        <v>117</v>
      </c>
      <c r="C199" cm="1">
        <f t="array" aca="1" ref="C199" ca="1">_xlfn.XLOOKUP(B199,INDIRECT(A199&amp;"!A:A"),INDIRECT(A199&amp;"!B:B"),,0,1)</f>
        <v>-132.75</v>
      </c>
      <c r="D199" cm="1">
        <f t="array" aca="1" ref="D199" ca="1">_xlfn.XLOOKUP($B199,INDIRECT($A199&amp;"!A:A"),INDIRECT($A199&amp;"!E:E"),,0,1)</f>
        <v>28.93</v>
      </c>
      <c r="E199" t="str">
        <f t="shared" ca="1" si="3"/>
        <v xml:space="preserve">              -132.75,28.93,0</v>
      </c>
    </row>
    <row r="200" spans="1:5" x14ac:dyDescent="0.35">
      <c r="A200" t="s">
        <v>42</v>
      </c>
      <c r="B200">
        <f>COUNTIFS(A$1:A200,A200)-1</f>
        <v>118</v>
      </c>
      <c r="C200" cm="1">
        <f t="array" aca="1" ref="C200" ca="1">_xlfn.XLOOKUP(B200,INDIRECT(A200&amp;"!A:A"),INDIRECT(A200&amp;"!B:B"),,0,1)</f>
        <v>-132.5</v>
      </c>
      <c r="D200" cm="1">
        <f t="array" aca="1" ref="D200" ca="1">_xlfn.XLOOKUP($B200,INDIRECT($A200&amp;"!A:A"),INDIRECT($A200&amp;"!E:E"),,0,1)</f>
        <v>28.68</v>
      </c>
      <c r="E200" t="str">
        <f t="shared" ca="1" si="3"/>
        <v xml:space="preserve">              -132.5,28.68,0</v>
      </c>
    </row>
    <row r="201" spans="1:5" x14ac:dyDescent="0.35">
      <c r="A201" t="s">
        <v>42</v>
      </c>
      <c r="B201">
        <f>COUNTIFS(A$1:A201,A201)-1</f>
        <v>119</v>
      </c>
      <c r="C201" cm="1">
        <f t="array" aca="1" ref="C201" ca="1">_xlfn.XLOOKUP(B201,INDIRECT(A201&amp;"!A:A"),INDIRECT(A201&amp;"!B:B"),,0,1)</f>
        <v>-132.25</v>
      </c>
      <c r="D201" cm="1">
        <f t="array" aca="1" ref="D201" ca="1">_xlfn.XLOOKUP($B201,INDIRECT($A201&amp;"!A:A"),INDIRECT($A201&amp;"!E:E"),,0,1)</f>
        <v>28.43</v>
      </c>
      <c r="E201" t="str">
        <f t="shared" ca="1" si="3"/>
        <v xml:space="preserve">              -132.25,28.43,0</v>
      </c>
    </row>
    <row r="202" spans="1:5" x14ac:dyDescent="0.35">
      <c r="A202" t="s">
        <v>42</v>
      </c>
      <c r="B202">
        <f>COUNTIFS(A$1:A202,A202)-1</f>
        <v>120</v>
      </c>
      <c r="C202" cm="1">
        <f t="array" aca="1" ref="C202" ca="1">_xlfn.XLOOKUP(B202,INDIRECT(A202&amp;"!A:A"),INDIRECT(A202&amp;"!B:B"),,0,1)</f>
        <v>-132</v>
      </c>
      <c r="D202" cm="1">
        <f t="array" aca="1" ref="D202" ca="1">_xlfn.XLOOKUP($B202,INDIRECT($A202&amp;"!A:A"),INDIRECT($A202&amp;"!E:E"),,0,1)</f>
        <v>28.17</v>
      </c>
      <c r="E202" t="str">
        <f t="shared" ca="1" si="3"/>
        <v xml:space="preserve">              -132,28.17,0</v>
      </c>
    </row>
    <row r="203" spans="1:5" x14ac:dyDescent="0.35">
      <c r="A203" t="s">
        <v>42</v>
      </c>
      <c r="B203">
        <f>COUNTIFS(A$1:A203,A203)-1</f>
        <v>121</v>
      </c>
      <c r="C203" cm="1">
        <f t="array" aca="1" ref="C203" ca="1">_xlfn.XLOOKUP(B203,INDIRECT(A203&amp;"!A:A"),INDIRECT(A203&amp;"!B:B"),,0,1)</f>
        <v>-131.75</v>
      </c>
      <c r="D203" cm="1">
        <f t="array" aca="1" ref="D203" ca="1">_xlfn.XLOOKUP($B203,INDIRECT($A203&amp;"!A:A"),INDIRECT($A203&amp;"!E:E"),,0,1)</f>
        <v>27.92</v>
      </c>
      <c r="E203" t="str">
        <f t="shared" ca="1" si="3"/>
        <v xml:space="preserve">              -131.75,27.92,0</v>
      </c>
    </row>
    <row r="204" spans="1:5" x14ac:dyDescent="0.35">
      <c r="A204" t="s">
        <v>42</v>
      </c>
      <c r="B204">
        <f>COUNTIFS(A$1:A204,A204)-1</f>
        <v>122</v>
      </c>
      <c r="C204" cm="1">
        <f t="array" aca="1" ref="C204" ca="1">_xlfn.XLOOKUP(B204,INDIRECT(A204&amp;"!A:A"),INDIRECT(A204&amp;"!B:B"),,0,1)</f>
        <v>-131.5</v>
      </c>
      <c r="D204" cm="1">
        <f t="array" aca="1" ref="D204" ca="1">_xlfn.XLOOKUP($B204,INDIRECT($A204&amp;"!A:A"),INDIRECT($A204&amp;"!E:E"),,0,1)</f>
        <v>27.66</v>
      </c>
      <c r="E204" t="str">
        <f t="shared" ca="1" si="3"/>
        <v xml:space="preserve">              -131.5,27.66,0</v>
      </c>
    </row>
    <row r="205" spans="1:5" x14ac:dyDescent="0.35">
      <c r="A205" t="s">
        <v>42</v>
      </c>
      <c r="B205">
        <f>COUNTIFS(A$1:A205,A205)-1</f>
        <v>123</v>
      </c>
      <c r="C205" cm="1">
        <f t="array" aca="1" ref="C205" ca="1">_xlfn.XLOOKUP(B205,INDIRECT(A205&amp;"!A:A"),INDIRECT(A205&amp;"!B:B"),,0,1)</f>
        <v>-131.25</v>
      </c>
      <c r="D205" cm="1">
        <f t="array" aca="1" ref="D205" ca="1">_xlfn.XLOOKUP($B205,INDIRECT($A205&amp;"!A:A"),INDIRECT($A205&amp;"!E:E"),,0,1)</f>
        <v>27.4</v>
      </c>
      <c r="E205" t="str">
        <f t="shared" ca="1" si="3"/>
        <v xml:space="preserve">              -131.25,27.4,0</v>
      </c>
    </row>
    <row r="206" spans="1:5" x14ac:dyDescent="0.35">
      <c r="A206" t="s">
        <v>42</v>
      </c>
      <c r="B206">
        <f>COUNTIFS(A$1:A206,A206)-1</f>
        <v>124</v>
      </c>
      <c r="C206" cm="1">
        <f t="array" aca="1" ref="C206" ca="1">_xlfn.XLOOKUP(B206,INDIRECT(A206&amp;"!A:A"),INDIRECT(A206&amp;"!B:B"),,0,1)</f>
        <v>-131</v>
      </c>
      <c r="D206" cm="1">
        <f t="array" aca="1" ref="D206" ca="1">_xlfn.XLOOKUP($B206,INDIRECT($A206&amp;"!A:A"),INDIRECT($A206&amp;"!E:E"),,0,1)</f>
        <v>27.14</v>
      </c>
      <c r="E206" t="str">
        <f t="shared" ca="1" si="3"/>
        <v xml:space="preserve">              -131,27.14,0</v>
      </c>
    </row>
    <row r="207" spans="1:5" x14ac:dyDescent="0.35">
      <c r="A207" t="s">
        <v>42</v>
      </c>
      <c r="B207">
        <f>COUNTIFS(A$1:A207,A207)-1</f>
        <v>125</v>
      </c>
      <c r="C207" cm="1">
        <f t="array" aca="1" ref="C207" ca="1">_xlfn.XLOOKUP(B207,INDIRECT(A207&amp;"!A:A"),INDIRECT(A207&amp;"!B:B"),,0,1)</f>
        <v>-130.75</v>
      </c>
      <c r="D207" cm="1">
        <f t="array" aca="1" ref="D207" ca="1">_xlfn.XLOOKUP($B207,INDIRECT($A207&amp;"!A:A"),INDIRECT($A207&amp;"!E:E"),,0,1)</f>
        <v>26.88</v>
      </c>
      <c r="E207" t="str">
        <f t="shared" ca="1" si="3"/>
        <v xml:space="preserve">              -130.75,26.88,0</v>
      </c>
    </row>
    <row r="208" spans="1:5" x14ac:dyDescent="0.35">
      <c r="A208" t="s">
        <v>42</v>
      </c>
      <c r="B208">
        <f>COUNTIFS(A$1:A208,A208)-1</f>
        <v>126</v>
      </c>
      <c r="C208" cm="1">
        <f t="array" aca="1" ref="C208" ca="1">_xlfn.XLOOKUP(B208,INDIRECT(A208&amp;"!A:A"),INDIRECT(A208&amp;"!B:B"),,0,1)</f>
        <v>-130.5</v>
      </c>
      <c r="D208" cm="1">
        <f t="array" aca="1" ref="D208" ca="1">_xlfn.XLOOKUP($B208,INDIRECT($A208&amp;"!A:A"),INDIRECT($A208&amp;"!E:E"),,0,1)</f>
        <v>26.62</v>
      </c>
      <c r="E208" t="str">
        <f t="shared" ca="1" si="3"/>
        <v xml:space="preserve">              -130.5,26.62,0</v>
      </c>
    </row>
    <row r="209" spans="1:5" x14ac:dyDescent="0.35">
      <c r="A209" t="s">
        <v>42</v>
      </c>
      <c r="B209">
        <f>COUNTIFS(A$1:A209,A209)-1</f>
        <v>127</v>
      </c>
      <c r="C209" cm="1">
        <f t="array" aca="1" ref="C209" ca="1">_xlfn.XLOOKUP(B209,INDIRECT(A209&amp;"!A:A"),INDIRECT(A209&amp;"!B:B"),,0,1)</f>
        <v>-130.25</v>
      </c>
      <c r="D209" cm="1">
        <f t="array" aca="1" ref="D209" ca="1">_xlfn.XLOOKUP($B209,INDIRECT($A209&amp;"!A:A"),INDIRECT($A209&amp;"!E:E"),,0,1)</f>
        <v>26.35</v>
      </c>
      <c r="E209" t="str">
        <f t="shared" ca="1" si="3"/>
        <v xml:space="preserve">              -130.25,26.35,0</v>
      </c>
    </row>
    <row r="210" spans="1:5" x14ac:dyDescent="0.35">
      <c r="A210" t="s">
        <v>42</v>
      </c>
      <c r="B210">
        <f>COUNTIFS(A$1:A210,A210)-1</f>
        <v>128</v>
      </c>
      <c r="C210" cm="1">
        <f t="array" aca="1" ref="C210" ca="1">_xlfn.XLOOKUP(B210,INDIRECT(A210&amp;"!A:A"),INDIRECT(A210&amp;"!B:B"),,0,1)</f>
        <v>-130</v>
      </c>
      <c r="D210" cm="1">
        <f t="array" aca="1" ref="D210" ca="1">_xlfn.XLOOKUP($B210,INDIRECT($A210&amp;"!A:A"),INDIRECT($A210&amp;"!E:E"),,0,1)</f>
        <v>26.08</v>
      </c>
      <c r="E210" t="str">
        <f t="shared" ca="1" si="3"/>
        <v xml:space="preserve">              -130,26.08,0</v>
      </c>
    </row>
    <row r="211" spans="1:5" x14ac:dyDescent="0.35">
      <c r="A211" t="s">
        <v>42</v>
      </c>
      <c r="B211">
        <f>COUNTIFS(A$1:A211,A211)-1</f>
        <v>129</v>
      </c>
      <c r="C211" cm="1">
        <f t="array" aca="1" ref="C211" ca="1">_xlfn.XLOOKUP(B211,INDIRECT(A211&amp;"!A:A"),INDIRECT(A211&amp;"!B:B"),,0,1)</f>
        <v>-129.75</v>
      </c>
      <c r="D211" cm="1">
        <f t="array" aca="1" ref="D211" ca="1">_xlfn.XLOOKUP($B211,INDIRECT($A211&amp;"!A:A"),INDIRECT($A211&amp;"!E:E"),,0,1)</f>
        <v>25.82</v>
      </c>
      <c r="E211" t="str">
        <f t="shared" ca="1" si="3"/>
        <v xml:space="preserve">              -129.75,25.82,0</v>
      </c>
    </row>
    <row r="212" spans="1:5" x14ac:dyDescent="0.35">
      <c r="A212" t="s">
        <v>42</v>
      </c>
      <c r="B212">
        <f>COUNTIFS(A$1:A212,A212)-1</f>
        <v>130</v>
      </c>
      <c r="C212" cm="1">
        <f t="array" aca="1" ref="C212" ca="1">_xlfn.XLOOKUP(B212,INDIRECT(A212&amp;"!A:A"),INDIRECT(A212&amp;"!B:B"),,0,1)</f>
        <v>-129.5</v>
      </c>
      <c r="D212" cm="1">
        <f t="array" aca="1" ref="D212" ca="1">_xlfn.XLOOKUP($B212,INDIRECT($A212&amp;"!A:A"),INDIRECT($A212&amp;"!E:E"),,0,1)</f>
        <v>25.55</v>
      </c>
      <c r="E212" t="str">
        <f t="shared" ca="1" si="3"/>
        <v xml:space="preserve">              -129.5,25.55,0</v>
      </c>
    </row>
    <row r="213" spans="1:5" x14ac:dyDescent="0.35">
      <c r="A213" t="s">
        <v>42</v>
      </c>
      <c r="B213">
        <f>COUNTIFS(A$1:A213,A213)-1</f>
        <v>131</v>
      </c>
      <c r="C213" cm="1">
        <f t="array" aca="1" ref="C213" ca="1">_xlfn.XLOOKUP(B213,INDIRECT(A213&amp;"!A:A"),INDIRECT(A213&amp;"!B:B"),,0,1)</f>
        <v>-129.25</v>
      </c>
      <c r="D213" cm="1">
        <f t="array" aca="1" ref="D213" ca="1">_xlfn.XLOOKUP($B213,INDIRECT($A213&amp;"!A:A"),INDIRECT($A213&amp;"!E:E"),,0,1)</f>
        <v>25.27</v>
      </c>
      <c r="E213" t="str">
        <f t="shared" ca="1" si="3"/>
        <v xml:space="preserve">              -129.25,25.27,0</v>
      </c>
    </row>
    <row r="214" spans="1:5" x14ac:dyDescent="0.35">
      <c r="A214" t="s">
        <v>42</v>
      </c>
      <c r="B214">
        <f>COUNTIFS(A$1:A214,A214)-1</f>
        <v>132</v>
      </c>
      <c r="C214" cm="1">
        <f t="array" aca="1" ref="C214" ca="1">_xlfn.XLOOKUP(B214,INDIRECT(A214&amp;"!A:A"),INDIRECT(A214&amp;"!B:B"),,0,1)</f>
        <v>-129</v>
      </c>
      <c r="D214" cm="1">
        <f t="array" aca="1" ref="D214" ca="1">_xlfn.XLOOKUP($B214,INDIRECT($A214&amp;"!A:A"),INDIRECT($A214&amp;"!E:E"),,0,1)</f>
        <v>25</v>
      </c>
      <c r="E214" t="str">
        <f t="shared" ca="1" si="3"/>
        <v xml:space="preserve">              -129,25,0</v>
      </c>
    </row>
    <row r="215" spans="1:5" x14ac:dyDescent="0.35">
      <c r="A215" t="s">
        <v>42</v>
      </c>
      <c r="B215">
        <f>COUNTIFS(A$1:A215,A215)-1</f>
        <v>133</v>
      </c>
      <c r="C215" cm="1">
        <f t="array" aca="1" ref="C215" ca="1">_xlfn.XLOOKUP(B215,INDIRECT(A215&amp;"!A:A"),INDIRECT(A215&amp;"!B:B"),,0,1)</f>
        <v>-128.75</v>
      </c>
      <c r="D215" cm="1">
        <f t="array" aca="1" ref="D215" ca="1">_xlfn.XLOOKUP($B215,INDIRECT($A215&amp;"!A:A"),INDIRECT($A215&amp;"!E:E"),,0,1)</f>
        <v>24.73</v>
      </c>
      <c r="E215" t="str">
        <f t="shared" ca="1" si="3"/>
        <v xml:space="preserve">              -128.75,24.73,0</v>
      </c>
    </row>
    <row r="216" spans="1:5" x14ac:dyDescent="0.35">
      <c r="A216" t="s">
        <v>42</v>
      </c>
      <c r="B216">
        <f>COUNTIFS(A$1:A216,A216)-1</f>
        <v>134</v>
      </c>
      <c r="C216" cm="1">
        <f t="array" aca="1" ref="C216" ca="1">_xlfn.XLOOKUP(B216,INDIRECT(A216&amp;"!A:A"),INDIRECT(A216&amp;"!B:B"),,0,1)</f>
        <v>-128.5</v>
      </c>
      <c r="D216" cm="1">
        <f t="array" aca="1" ref="D216" ca="1">_xlfn.XLOOKUP($B216,INDIRECT($A216&amp;"!A:A"),INDIRECT($A216&amp;"!E:E"),,0,1)</f>
        <v>24.45</v>
      </c>
      <c r="E216" t="str">
        <f t="shared" ca="1" si="3"/>
        <v xml:space="preserve">              -128.5,24.45,0</v>
      </c>
    </row>
    <row r="217" spans="1:5" x14ac:dyDescent="0.35">
      <c r="A217" t="s">
        <v>42</v>
      </c>
      <c r="B217">
        <f>COUNTIFS(A$1:A217,A217)-1</f>
        <v>135</v>
      </c>
      <c r="C217" cm="1">
        <f t="array" aca="1" ref="C217" ca="1">_xlfn.XLOOKUP(B217,INDIRECT(A217&amp;"!A:A"),INDIRECT(A217&amp;"!B:B"),,0,1)</f>
        <v>-128.25</v>
      </c>
      <c r="D217" cm="1">
        <f t="array" aca="1" ref="D217" ca="1">_xlfn.XLOOKUP($B217,INDIRECT($A217&amp;"!A:A"),INDIRECT($A217&amp;"!E:E"),,0,1)</f>
        <v>24.17</v>
      </c>
      <c r="E217" t="str">
        <f t="shared" ca="1" si="3"/>
        <v xml:space="preserve">              -128.25,24.17,0</v>
      </c>
    </row>
    <row r="218" spans="1:5" x14ac:dyDescent="0.35">
      <c r="A218" t="s">
        <v>42</v>
      </c>
      <c r="B218">
        <f>COUNTIFS(A$1:A218,A218)-1</f>
        <v>136</v>
      </c>
      <c r="C218" cm="1">
        <f t="array" aca="1" ref="C218" ca="1">_xlfn.XLOOKUP(B218,INDIRECT(A218&amp;"!A:A"),INDIRECT(A218&amp;"!B:B"),,0,1)</f>
        <v>-128</v>
      </c>
      <c r="D218" cm="1">
        <f t="array" aca="1" ref="D218" ca="1">_xlfn.XLOOKUP($B218,INDIRECT($A218&amp;"!A:A"),INDIRECT($A218&amp;"!E:E"),,0,1)</f>
        <v>23.89</v>
      </c>
      <c r="E218" t="str">
        <f t="shared" ca="1" si="3"/>
        <v xml:space="preserve">              -128,23.89,0</v>
      </c>
    </row>
    <row r="219" spans="1:5" x14ac:dyDescent="0.35">
      <c r="A219" t="s">
        <v>42</v>
      </c>
      <c r="B219">
        <f>COUNTIFS(A$1:A219,A219)-1</f>
        <v>137</v>
      </c>
      <c r="C219" cm="1">
        <f t="array" aca="1" ref="C219" ca="1">_xlfn.XLOOKUP(B219,INDIRECT(A219&amp;"!A:A"),INDIRECT(A219&amp;"!B:B"),,0,1)</f>
        <v>-127.75</v>
      </c>
      <c r="D219" cm="1">
        <f t="array" aca="1" ref="D219" ca="1">_xlfn.XLOOKUP($B219,INDIRECT($A219&amp;"!A:A"),INDIRECT($A219&amp;"!E:E"),,0,1)</f>
        <v>23.61</v>
      </c>
      <c r="E219" t="str">
        <f t="shared" ca="1" si="3"/>
        <v xml:space="preserve">              -127.75,23.61,0</v>
      </c>
    </row>
    <row r="220" spans="1:5" x14ac:dyDescent="0.35">
      <c r="A220" t="s">
        <v>42</v>
      </c>
      <c r="B220">
        <f>COUNTIFS(A$1:A220,A220)-1</f>
        <v>138</v>
      </c>
      <c r="C220" cm="1">
        <f t="array" aca="1" ref="C220" ca="1">_xlfn.XLOOKUP(B220,INDIRECT(A220&amp;"!A:A"),INDIRECT(A220&amp;"!B:B"),,0,1)</f>
        <v>-127.5</v>
      </c>
      <c r="D220" cm="1">
        <f t="array" aca="1" ref="D220" ca="1">_xlfn.XLOOKUP($B220,INDIRECT($A220&amp;"!A:A"),INDIRECT($A220&amp;"!E:E"),,0,1)</f>
        <v>23.33</v>
      </c>
      <c r="E220" t="str">
        <f t="shared" ca="1" si="3"/>
        <v xml:space="preserve">              -127.5,23.33,0</v>
      </c>
    </row>
    <row r="221" spans="1:5" x14ac:dyDescent="0.35">
      <c r="A221" t="s">
        <v>42</v>
      </c>
      <c r="B221">
        <f>COUNTIFS(A$1:A221,A221)-1</f>
        <v>139</v>
      </c>
      <c r="C221" cm="1">
        <f t="array" aca="1" ref="C221" ca="1">_xlfn.XLOOKUP(B221,INDIRECT(A221&amp;"!A:A"),INDIRECT(A221&amp;"!B:B"),,0,1)</f>
        <v>-127.25</v>
      </c>
      <c r="D221" cm="1">
        <f t="array" aca="1" ref="D221" ca="1">_xlfn.XLOOKUP($B221,INDIRECT($A221&amp;"!A:A"),INDIRECT($A221&amp;"!E:E"),,0,1)</f>
        <v>23.04</v>
      </c>
      <c r="E221" t="str">
        <f t="shared" ca="1" si="3"/>
        <v xml:space="preserve">              -127.25,23.04,0</v>
      </c>
    </row>
    <row r="222" spans="1:5" x14ac:dyDescent="0.35">
      <c r="A222" t="s">
        <v>42</v>
      </c>
      <c r="B222">
        <f>COUNTIFS(A$1:A222,A222)-1</f>
        <v>140</v>
      </c>
      <c r="C222" cm="1">
        <f t="array" aca="1" ref="C222" ca="1">_xlfn.XLOOKUP(B222,INDIRECT(A222&amp;"!A:A"),INDIRECT(A222&amp;"!B:B"),,0,1)</f>
        <v>-127</v>
      </c>
      <c r="D222" cm="1">
        <f t="array" aca="1" ref="D222" ca="1">_xlfn.XLOOKUP($B222,INDIRECT($A222&amp;"!A:A"),INDIRECT($A222&amp;"!E:E"),,0,1)</f>
        <v>22.75</v>
      </c>
      <c r="E222" t="str">
        <f t="shared" ca="1" si="3"/>
        <v xml:space="preserve">              -127,22.75,0</v>
      </c>
    </row>
    <row r="223" spans="1:5" x14ac:dyDescent="0.35">
      <c r="A223" t="s">
        <v>42</v>
      </c>
      <c r="B223">
        <f>COUNTIFS(A$1:A223,A223)-1</f>
        <v>141</v>
      </c>
      <c r="C223" cm="1">
        <f t="array" aca="1" ref="C223" ca="1">_xlfn.XLOOKUP(B223,INDIRECT(A223&amp;"!A:A"),INDIRECT(A223&amp;"!B:B"),,0,1)</f>
        <v>-126.75</v>
      </c>
      <c r="D223" cm="1">
        <f t="array" aca="1" ref="D223" ca="1">_xlfn.XLOOKUP($B223,INDIRECT($A223&amp;"!A:A"),INDIRECT($A223&amp;"!E:E"),,0,1)</f>
        <v>22.47</v>
      </c>
      <c r="E223" t="str">
        <f t="shared" ca="1" si="3"/>
        <v xml:space="preserve">              -126.75,22.47,0</v>
      </c>
    </row>
    <row r="224" spans="1:5" x14ac:dyDescent="0.35">
      <c r="A224" t="s">
        <v>42</v>
      </c>
      <c r="B224">
        <f>COUNTIFS(A$1:A224,A224)-1</f>
        <v>142</v>
      </c>
      <c r="C224" cm="1">
        <f t="array" aca="1" ref="C224" ca="1">_xlfn.XLOOKUP(B224,INDIRECT(A224&amp;"!A:A"),INDIRECT(A224&amp;"!B:B"),,0,1)</f>
        <v>-126.5</v>
      </c>
      <c r="D224" cm="1">
        <f t="array" aca="1" ref="D224" ca="1">_xlfn.XLOOKUP($B224,INDIRECT($A224&amp;"!A:A"),INDIRECT($A224&amp;"!E:E"),,0,1)</f>
        <v>22.18</v>
      </c>
      <c r="E224" t="str">
        <f t="shared" ca="1" si="3"/>
        <v xml:space="preserve">              -126.5,22.18,0</v>
      </c>
    </row>
    <row r="225" spans="1:5" x14ac:dyDescent="0.35">
      <c r="A225" t="s">
        <v>42</v>
      </c>
      <c r="B225">
        <f>COUNTIFS(A$1:A225,A225)-1</f>
        <v>143</v>
      </c>
      <c r="C225" cm="1">
        <f t="array" aca="1" ref="C225" ca="1">_xlfn.XLOOKUP(B225,INDIRECT(A225&amp;"!A:A"),INDIRECT(A225&amp;"!B:B"),,0,1)</f>
        <v>-126.25</v>
      </c>
      <c r="D225" cm="1">
        <f t="array" aca="1" ref="D225" ca="1">_xlfn.XLOOKUP($B225,INDIRECT($A225&amp;"!A:A"),INDIRECT($A225&amp;"!E:E"),,0,1)</f>
        <v>21.89</v>
      </c>
      <c r="E225" t="str">
        <f t="shared" ca="1" si="3"/>
        <v xml:space="preserve">              -126.25,21.89,0</v>
      </c>
    </row>
    <row r="226" spans="1:5" x14ac:dyDescent="0.35">
      <c r="A226" t="s">
        <v>42</v>
      </c>
      <c r="B226">
        <f>COUNTIFS(A$1:A226,A226)-1</f>
        <v>144</v>
      </c>
      <c r="C226" cm="1">
        <f t="array" aca="1" ref="C226" ca="1">_xlfn.XLOOKUP(B226,INDIRECT(A226&amp;"!A:A"),INDIRECT(A226&amp;"!B:B"),,0,1)</f>
        <v>-126</v>
      </c>
      <c r="D226" cm="1">
        <f t="array" aca="1" ref="D226" ca="1">_xlfn.XLOOKUP($B226,INDIRECT($A226&amp;"!A:A"),INDIRECT($A226&amp;"!E:E"),,0,1)</f>
        <v>21.59</v>
      </c>
      <c r="E226" t="str">
        <f t="shared" ca="1" si="3"/>
        <v xml:space="preserve">              -126,21.59,0</v>
      </c>
    </row>
    <row r="227" spans="1:5" x14ac:dyDescent="0.35">
      <c r="A227" t="s">
        <v>42</v>
      </c>
      <c r="B227">
        <f>COUNTIFS(A$1:A227,A227)-1</f>
        <v>145</v>
      </c>
      <c r="C227" cm="1">
        <f t="array" aca="1" ref="C227" ca="1">_xlfn.XLOOKUP(B227,INDIRECT(A227&amp;"!A:A"),INDIRECT(A227&amp;"!B:B"),,0,1)</f>
        <v>-125.75</v>
      </c>
      <c r="D227" cm="1">
        <f t="array" aca="1" ref="D227" ca="1">_xlfn.XLOOKUP($B227,INDIRECT($A227&amp;"!A:A"),INDIRECT($A227&amp;"!E:E"),,0,1)</f>
        <v>21.3</v>
      </c>
      <c r="E227" t="str">
        <f t="shared" ca="1" si="3"/>
        <v xml:space="preserve">              -125.75,21.3,0</v>
      </c>
    </row>
    <row r="228" spans="1:5" x14ac:dyDescent="0.35">
      <c r="A228" t="s">
        <v>42</v>
      </c>
      <c r="B228">
        <f>COUNTIFS(A$1:A228,A228)-1</f>
        <v>146</v>
      </c>
      <c r="C228" cm="1">
        <f t="array" aca="1" ref="C228" ca="1">_xlfn.XLOOKUP(B228,INDIRECT(A228&amp;"!A:A"),INDIRECT(A228&amp;"!B:B"),,0,1)</f>
        <v>-125.5</v>
      </c>
      <c r="D228" cm="1">
        <f t="array" aca="1" ref="D228" ca="1">_xlfn.XLOOKUP($B228,INDIRECT($A228&amp;"!A:A"),INDIRECT($A228&amp;"!E:E"),,0,1)</f>
        <v>21</v>
      </c>
      <c r="E228" t="str">
        <f t="shared" ca="1" si="3"/>
        <v xml:space="preserve">              -125.5,21,0</v>
      </c>
    </row>
    <row r="229" spans="1:5" x14ac:dyDescent="0.35">
      <c r="A229" t="s">
        <v>42</v>
      </c>
      <c r="B229">
        <f>COUNTIFS(A$1:A229,A229)-1</f>
        <v>147</v>
      </c>
      <c r="C229" cm="1">
        <f t="array" aca="1" ref="C229" ca="1">_xlfn.XLOOKUP(B229,INDIRECT(A229&amp;"!A:A"),INDIRECT(A229&amp;"!B:B"),,0,1)</f>
        <v>-125.25</v>
      </c>
      <c r="D229" cm="1">
        <f t="array" aca="1" ref="D229" ca="1">_xlfn.XLOOKUP($B229,INDIRECT($A229&amp;"!A:A"),INDIRECT($A229&amp;"!E:E"),,0,1)</f>
        <v>20.7</v>
      </c>
      <c r="E229" t="str">
        <f t="shared" ca="1" si="3"/>
        <v xml:space="preserve">              -125.25,20.7,0</v>
      </c>
    </row>
    <row r="230" spans="1:5" x14ac:dyDescent="0.35">
      <c r="A230" t="s">
        <v>42</v>
      </c>
      <c r="B230">
        <f>COUNTIFS(A$1:A230,A230)-1</f>
        <v>148</v>
      </c>
      <c r="C230" cm="1">
        <f t="array" aca="1" ref="C230" ca="1">_xlfn.XLOOKUP(B230,INDIRECT(A230&amp;"!A:A"),INDIRECT(A230&amp;"!B:B"),,0,1)</f>
        <v>-125</v>
      </c>
      <c r="D230" cm="1">
        <f t="array" aca="1" ref="D230" ca="1">_xlfn.XLOOKUP($B230,INDIRECT($A230&amp;"!A:A"),INDIRECT($A230&amp;"!E:E"),,0,1)</f>
        <v>20.41</v>
      </c>
      <c r="E230" t="str">
        <f t="shared" ca="1" si="3"/>
        <v xml:space="preserve">              -125,20.41,0</v>
      </c>
    </row>
    <row r="231" spans="1:5" x14ac:dyDescent="0.35">
      <c r="A231" t="s">
        <v>42</v>
      </c>
      <c r="B231">
        <f>COUNTIFS(A$1:A231,A231)-1</f>
        <v>149</v>
      </c>
      <c r="C231" cm="1">
        <f t="array" aca="1" ref="C231" ca="1">_xlfn.XLOOKUP(B231,INDIRECT(A231&amp;"!A:A"),INDIRECT(A231&amp;"!B:B"),,0,1)</f>
        <v>-124.75</v>
      </c>
      <c r="D231" cm="1">
        <f t="array" aca="1" ref="D231" ca="1">_xlfn.XLOOKUP($B231,INDIRECT($A231&amp;"!A:A"),INDIRECT($A231&amp;"!E:E"),,0,1)</f>
        <v>20.11</v>
      </c>
      <c r="E231" t="str">
        <f t="shared" ca="1" si="3"/>
        <v xml:space="preserve">              -124.75,20.11,0</v>
      </c>
    </row>
    <row r="232" spans="1:5" x14ac:dyDescent="0.35">
      <c r="A232" t="s">
        <v>42</v>
      </c>
      <c r="B232">
        <f>COUNTIFS(A$1:A232,A232)-1</f>
        <v>150</v>
      </c>
      <c r="C232" cm="1">
        <f t="array" aca="1" ref="C232" ca="1">_xlfn.XLOOKUP(B232,INDIRECT(A232&amp;"!A:A"),INDIRECT(A232&amp;"!B:B"),,0,1)</f>
        <v>-124.5</v>
      </c>
      <c r="D232" cm="1">
        <f t="array" aca="1" ref="D232" ca="1">_xlfn.XLOOKUP($B232,INDIRECT($A232&amp;"!A:A"),INDIRECT($A232&amp;"!E:E"),,0,1)</f>
        <v>19.8</v>
      </c>
      <c r="E232" t="str">
        <f t="shared" ca="1" si="3"/>
        <v xml:space="preserve">              -124.5,19.8,0</v>
      </c>
    </row>
    <row r="233" spans="1:5" x14ac:dyDescent="0.35">
      <c r="A233" t="s">
        <v>43</v>
      </c>
      <c r="B233">
        <f>COUNTIFS(A$1:A233,A233)-1</f>
        <v>0</v>
      </c>
      <c r="C233" cm="1">
        <f t="array" aca="1" ref="C233" ca="1">_xlfn.XLOOKUP(B233,INDIRECT(A233&amp;"!A:A"),INDIRECT(A233&amp;"!B:B"),,0,1)</f>
        <v>-124.25</v>
      </c>
      <c r="D233" cm="1">
        <f t="array" aca="1" ref="D233" ca="1">_xlfn.XLOOKUP($B233,INDIRECT($A233&amp;"!A:A"),INDIRECT($A233&amp;"!E:E"),,0,1)</f>
        <v>19.5</v>
      </c>
      <c r="E233" t="str">
        <f t="shared" ref="E233" ca="1" si="4">"              "&amp;C233&amp;","&amp;D233&amp;",0"</f>
        <v xml:space="preserve">              -124.25,19.5,0</v>
      </c>
    </row>
    <row r="234" spans="1:5" x14ac:dyDescent="0.35">
      <c r="A234" t="s">
        <v>43</v>
      </c>
      <c r="B234">
        <f>COUNTIFS(A$1:A234,A234)-1</f>
        <v>1</v>
      </c>
      <c r="C234" cm="1">
        <f t="array" aca="1" ref="C234" ca="1">_xlfn.XLOOKUP(B234,INDIRECT(A234&amp;"!A:A"),INDIRECT(A234&amp;"!B:B"),,0,1)</f>
        <v>-124.5</v>
      </c>
      <c r="D234" cm="1">
        <f t="array" aca="1" ref="D234" ca="1">_xlfn.XLOOKUP($B234,INDIRECT($A234&amp;"!A:A"),INDIRECT($A234&amp;"!E:E"),,0,1)</f>
        <v>18.920000000000002</v>
      </c>
      <c r="E234" t="str">
        <f t="shared" ref="E234:E296" ca="1" si="5">"              "&amp;C234&amp;","&amp;D234&amp;",0"</f>
        <v xml:space="preserve">              -124.5,18.92,0</v>
      </c>
    </row>
    <row r="235" spans="1:5" x14ac:dyDescent="0.35">
      <c r="A235" t="s">
        <v>43</v>
      </c>
      <c r="B235">
        <f>COUNTIFS(A$1:A235,A235)-1</f>
        <v>2</v>
      </c>
      <c r="C235" cm="1">
        <f t="array" aca="1" ref="C235" ca="1">_xlfn.XLOOKUP(B235,INDIRECT(A235&amp;"!A:A"),INDIRECT(A235&amp;"!B:B"),,0,1)</f>
        <v>-124.75</v>
      </c>
      <c r="D235" cm="1">
        <f t="array" aca="1" ref="D235" ca="1">_xlfn.XLOOKUP($B235,INDIRECT($A235&amp;"!A:A"),INDIRECT($A235&amp;"!E:E"),,0,1)</f>
        <v>18.34</v>
      </c>
      <c r="E235" t="str">
        <f t="shared" ca="1" si="5"/>
        <v xml:space="preserve">              -124.75,18.34,0</v>
      </c>
    </row>
    <row r="236" spans="1:5" x14ac:dyDescent="0.35">
      <c r="A236" t="s">
        <v>43</v>
      </c>
      <c r="B236">
        <f>COUNTIFS(A$1:A236,A236)-1</f>
        <v>3</v>
      </c>
      <c r="C236" cm="1">
        <f t="array" aca="1" ref="C236" ca="1">_xlfn.XLOOKUP(B236,INDIRECT(A236&amp;"!A:A"),INDIRECT(A236&amp;"!B:B"),,0,1)</f>
        <v>-125</v>
      </c>
      <c r="D236" cm="1">
        <f t="array" aca="1" ref="D236" ca="1">_xlfn.XLOOKUP($B236,INDIRECT($A236&amp;"!A:A"),INDIRECT($A236&amp;"!E:E"),,0,1)</f>
        <v>17.75</v>
      </c>
      <c r="E236" t="str">
        <f t="shared" ca="1" si="5"/>
        <v xml:space="preserve">              -125,17.75,0</v>
      </c>
    </row>
    <row r="237" spans="1:5" x14ac:dyDescent="0.35">
      <c r="A237" t="s">
        <v>43</v>
      </c>
      <c r="B237">
        <f>COUNTIFS(A$1:A237,A237)-1</f>
        <v>4</v>
      </c>
      <c r="C237" cm="1">
        <f t="array" aca="1" ref="C237" ca="1">_xlfn.XLOOKUP(B237,INDIRECT(A237&amp;"!A:A"),INDIRECT(A237&amp;"!B:B"),,0,1)</f>
        <v>-125.25</v>
      </c>
      <c r="D237" cm="1">
        <f t="array" aca="1" ref="D237" ca="1">_xlfn.XLOOKUP($B237,INDIRECT($A237&amp;"!A:A"),INDIRECT($A237&amp;"!E:E"),,0,1)</f>
        <v>17.149999999999999</v>
      </c>
      <c r="E237" t="str">
        <f t="shared" ca="1" si="5"/>
        <v xml:space="preserve">              -125.25,17.15,0</v>
      </c>
    </row>
    <row r="238" spans="1:5" x14ac:dyDescent="0.35">
      <c r="A238" t="s">
        <v>43</v>
      </c>
      <c r="B238">
        <f>COUNTIFS(A$1:A238,A238)-1</f>
        <v>5</v>
      </c>
      <c r="C238" cm="1">
        <f t="array" aca="1" ref="C238" ca="1">_xlfn.XLOOKUP(B238,INDIRECT(A238&amp;"!A:A"),INDIRECT(A238&amp;"!B:B"),,0,1)</f>
        <v>-125.5</v>
      </c>
      <c r="D238" cm="1">
        <f t="array" aca="1" ref="D238" ca="1">_xlfn.XLOOKUP($B238,INDIRECT($A238&amp;"!A:A"),INDIRECT($A238&amp;"!E:E"),,0,1)</f>
        <v>16.559999999999999</v>
      </c>
      <c r="E238" t="str">
        <f t="shared" ca="1" si="5"/>
        <v xml:space="preserve">              -125.5,16.56,0</v>
      </c>
    </row>
    <row r="239" spans="1:5" x14ac:dyDescent="0.35">
      <c r="A239" t="s">
        <v>43</v>
      </c>
      <c r="B239">
        <f>COUNTIFS(A$1:A239,A239)-1</f>
        <v>6</v>
      </c>
      <c r="C239" cm="1">
        <f t="array" aca="1" ref="C239" ca="1">_xlfn.XLOOKUP(B239,INDIRECT(A239&amp;"!A:A"),INDIRECT(A239&amp;"!B:B"),,0,1)</f>
        <v>-125.75</v>
      </c>
      <c r="D239" cm="1">
        <f t="array" aca="1" ref="D239" ca="1">_xlfn.XLOOKUP($B239,INDIRECT($A239&amp;"!A:A"),INDIRECT($A239&amp;"!E:E"),,0,1)</f>
        <v>15.95</v>
      </c>
      <c r="E239" t="str">
        <f t="shared" ca="1" si="5"/>
        <v xml:space="preserve">              -125.75,15.95,0</v>
      </c>
    </row>
    <row r="240" spans="1:5" x14ac:dyDescent="0.35">
      <c r="A240" t="s">
        <v>43</v>
      </c>
      <c r="B240">
        <f>COUNTIFS(A$1:A240,A240)-1</f>
        <v>7</v>
      </c>
      <c r="C240" cm="1">
        <f t="array" aca="1" ref="C240" ca="1">_xlfn.XLOOKUP(B240,INDIRECT(A240&amp;"!A:A"),INDIRECT(A240&amp;"!B:B"),,0,1)</f>
        <v>-126</v>
      </c>
      <c r="D240" cm="1">
        <f t="array" aca="1" ref="D240" ca="1">_xlfn.XLOOKUP($B240,INDIRECT($A240&amp;"!A:A"),INDIRECT($A240&amp;"!E:E"),,0,1)</f>
        <v>15.35</v>
      </c>
      <c r="E240" t="str">
        <f t="shared" ca="1" si="5"/>
        <v xml:space="preserve">              -126,15.35,0</v>
      </c>
    </row>
    <row r="241" spans="1:5" x14ac:dyDescent="0.35">
      <c r="A241" t="s">
        <v>43</v>
      </c>
      <c r="B241">
        <f>COUNTIFS(A$1:A241,A241)-1</f>
        <v>8</v>
      </c>
      <c r="C241" cm="1">
        <f t="array" aca="1" ref="C241" ca="1">_xlfn.XLOOKUP(B241,INDIRECT(A241&amp;"!A:A"),INDIRECT(A241&amp;"!B:B"),,0,1)</f>
        <v>-126.25</v>
      </c>
      <c r="D241" cm="1">
        <f t="array" aca="1" ref="D241" ca="1">_xlfn.XLOOKUP($B241,INDIRECT($A241&amp;"!A:A"),INDIRECT($A241&amp;"!E:E"),,0,1)</f>
        <v>14.74</v>
      </c>
      <c r="E241" t="str">
        <f t="shared" ca="1" si="5"/>
        <v xml:space="preserve">              -126.25,14.74,0</v>
      </c>
    </row>
    <row r="242" spans="1:5" x14ac:dyDescent="0.35">
      <c r="A242" t="s">
        <v>43</v>
      </c>
      <c r="B242">
        <f>COUNTIFS(A$1:A242,A242)-1</f>
        <v>9</v>
      </c>
      <c r="C242" cm="1">
        <f t="array" aca="1" ref="C242" ca="1">_xlfn.XLOOKUP(B242,INDIRECT(A242&amp;"!A:A"),INDIRECT(A242&amp;"!B:B"),,0,1)</f>
        <v>-126.5</v>
      </c>
      <c r="D242" cm="1">
        <f t="array" aca="1" ref="D242" ca="1">_xlfn.XLOOKUP($B242,INDIRECT($A242&amp;"!A:A"),INDIRECT($A242&amp;"!E:E"),,0,1)</f>
        <v>14.13</v>
      </c>
      <c r="E242" t="str">
        <f t="shared" ca="1" si="5"/>
        <v xml:space="preserve">              -126.5,14.13,0</v>
      </c>
    </row>
    <row r="243" spans="1:5" x14ac:dyDescent="0.35">
      <c r="A243" t="s">
        <v>43</v>
      </c>
      <c r="B243">
        <f>COUNTIFS(A$1:A243,A243)-1</f>
        <v>10</v>
      </c>
      <c r="C243" cm="1">
        <f t="array" aca="1" ref="C243" ca="1">_xlfn.XLOOKUP(B243,INDIRECT(A243&amp;"!A:A"),INDIRECT(A243&amp;"!B:B"),,0,1)</f>
        <v>-126.75</v>
      </c>
      <c r="D243" cm="1">
        <f t="array" aca="1" ref="D243" ca="1">_xlfn.XLOOKUP($B243,INDIRECT($A243&amp;"!A:A"),INDIRECT($A243&amp;"!E:E"),,0,1)</f>
        <v>13.51</v>
      </c>
      <c r="E243" t="str">
        <f t="shared" ca="1" si="5"/>
        <v xml:space="preserve">              -126.75,13.51,0</v>
      </c>
    </row>
    <row r="244" spans="1:5" x14ac:dyDescent="0.35">
      <c r="A244" t="s">
        <v>43</v>
      </c>
      <c r="B244">
        <f>COUNTIFS(A$1:A244,A244)-1</f>
        <v>11</v>
      </c>
      <c r="C244" cm="1">
        <f t="array" aca="1" ref="C244" ca="1">_xlfn.XLOOKUP(B244,INDIRECT(A244&amp;"!A:A"),INDIRECT(A244&amp;"!B:B"),,0,1)</f>
        <v>-127</v>
      </c>
      <c r="D244" cm="1">
        <f t="array" aca="1" ref="D244" ca="1">_xlfn.XLOOKUP($B244,INDIRECT($A244&amp;"!A:A"),INDIRECT($A244&amp;"!E:E"),,0,1)</f>
        <v>12.89</v>
      </c>
      <c r="E244" t="str">
        <f t="shared" ca="1" si="5"/>
        <v xml:space="preserve">              -127,12.89,0</v>
      </c>
    </row>
    <row r="245" spans="1:5" x14ac:dyDescent="0.35">
      <c r="A245" t="s">
        <v>43</v>
      </c>
      <c r="B245">
        <f>COUNTIFS(A$1:A245,A245)-1</f>
        <v>12</v>
      </c>
      <c r="C245" cm="1">
        <f t="array" aca="1" ref="C245" ca="1">_xlfn.XLOOKUP(B245,INDIRECT(A245&amp;"!A:A"),INDIRECT(A245&amp;"!B:B"),,0,1)</f>
        <v>-127.25</v>
      </c>
      <c r="D245" cm="1">
        <f t="array" aca="1" ref="D245" ca="1">_xlfn.XLOOKUP($B245,INDIRECT($A245&amp;"!A:A"),INDIRECT($A245&amp;"!E:E"),,0,1)</f>
        <v>12.27</v>
      </c>
      <c r="E245" t="str">
        <f t="shared" ca="1" si="5"/>
        <v xml:space="preserve">              -127.25,12.27,0</v>
      </c>
    </row>
    <row r="246" spans="1:5" x14ac:dyDescent="0.35">
      <c r="A246" t="s">
        <v>43</v>
      </c>
      <c r="B246">
        <f>COUNTIFS(A$1:A246,A246)-1</f>
        <v>13</v>
      </c>
      <c r="C246" cm="1">
        <f t="array" aca="1" ref="C246" ca="1">_xlfn.XLOOKUP(B246,INDIRECT(A246&amp;"!A:A"),INDIRECT(A246&amp;"!B:B"),,0,1)</f>
        <v>-127.5</v>
      </c>
      <c r="D246" cm="1">
        <f t="array" aca="1" ref="D246" ca="1">_xlfn.XLOOKUP($B246,INDIRECT($A246&amp;"!A:A"),INDIRECT($A246&amp;"!E:E"),,0,1)</f>
        <v>11.64</v>
      </c>
      <c r="E246" t="str">
        <f t="shared" ca="1" si="5"/>
        <v xml:space="preserve">              -127.5,11.64,0</v>
      </c>
    </row>
    <row r="247" spans="1:5" x14ac:dyDescent="0.35">
      <c r="A247" t="s">
        <v>43</v>
      </c>
      <c r="B247">
        <f>COUNTIFS(A$1:A247,A247)-1</f>
        <v>14</v>
      </c>
      <c r="C247" cm="1">
        <f t="array" aca="1" ref="C247" ca="1">_xlfn.XLOOKUP(B247,INDIRECT(A247&amp;"!A:A"),INDIRECT(A247&amp;"!B:B"),,0,1)</f>
        <v>-127.75</v>
      </c>
      <c r="D247" cm="1">
        <f t="array" aca="1" ref="D247" ca="1">_xlfn.XLOOKUP($B247,INDIRECT($A247&amp;"!A:A"),INDIRECT($A247&amp;"!E:E"),,0,1)</f>
        <v>11.01</v>
      </c>
      <c r="E247" t="str">
        <f t="shared" ca="1" si="5"/>
        <v xml:space="preserve">              -127.75,11.01,0</v>
      </c>
    </row>
    <row r="248" spans="1:5" x14ac:dyDescent="0.35">
      <c r="A248" t="s">
        <v>43</v>
      </c>
      <c r="B248">
        <f>COUNTIFS(A$1:A248,A248)-1</f>
        <v>15</v>
      </c>
      <c r="C248" cm="1">
        <f t="array" aca="1" ref="C248" ca="1">_xlfn.XLOOKUP(B248,INDIRECT(A248&amp;"!A:A"),INDIRECT(A248&amp;"!B:B"),,0,1)</f>
        <v>-128</v>
      </c>
      <c r="D248" cm="1">
        <f t="array" aca="1" ref="D248" ca="1">_xlfn.XLOOKUP($B248,INDIRECT($A248&amp;"!A:A"),INDIRECT($A248&amp;"!E:E"),,0,1)</f>
        <v>10.38</v>
      </c>
      <c r="E248" t="str">
        <f t="shared" ca="1" si="5"/>
        <v xml:space="preserve">              -128,10.38,0</v>
      </c>
    </row>
    <row r="249" spans="1:5" x14ac:dyDescent="0.35">
      <c r="A249" t="s">
        <v>43</v>
      </c>
      <c r="B249">
        <f>COUNTIFS(A$1:A249,A249)-1</f>
        <v>16</v>
      </c>
      <c r="C249" cm="1">
        <f t="array" aca="1" ref="C249" ca="1">_xlfn.XLOOKUP(B249,INDIRECT(A249&amp;"!A:A"),INDIRECT(A249&amp;"!B:B"),,0,1)</f>
        <v>-128.25</v>
      </c>
      <c r="D249" cm="1">
        <f t="array" aca="1" ref="D249" ca="1">_xlfn.XLOOKUP($B249,INDIRECT($A249&amp;"!A:A"),INDIRECT($A249&amp;"!E:E"),,0,1)</f>
        <v>9.75</v>
      </c>
      <c r="E249" t="str">
        <f t="shared" ca="1" si="5"/>
        <v xml:space="preserve">              -128.25,9.75,0</v>
      </c>
    </row>
    <row r="250" spans="1:5" x14ac:dyDescent="0.35">
      <c r="A250" t="s">
        <v>43</v>
      </c>
      <c r="B250">
        <f>COUNTIFS(A$1:A250,A250)-1</f>
        <v>17</v>
      </c>
      <c r="C250" cm="1">
        <f t="array" aca="1" ref="C250" ca="1">_xlfn.XLOOKUP(B250,INDIRECT(A250&amp;"!A:A"),INDIRECT(A250&amp;"!B:B"),,0,1)</f>
        <v>-128.5</v>
      </c>
      <c r="D250" cm="1">
        <f t="array" aca="1" ref="D250" ca="1">_xlfn.XLOOKUP($B250,INDIRECT($A250&amp;"!A:A"),INDIRECT($A250&amp;"!E:E"),,0,1)</f>
        <v>9.11</v>
      </c>
      <c r="E250" t="str">
        <f t="shared" ca="1" si="5"/>
        <v xml:space="preserve">              -128.5,9.11,0</v>
      </c>
    </row>
    <row r="251" spans="1:5" x14ac:dyDescent="0.35">
      <c r="A251" t="s">
        <v>43</v>
      </c>
      <c r="B251">
        <f>COUNTIFS(A$1:A251,A251)-1</f>
        <v>18</v>
      </c>
      <c r="C251" cm="1">
        <f t="array" aca="1" ref="C251" ca="1">_xlfn.XLOOKUP(B251,INDIRECT(A251&amp;"!A:A"),INDIRECT(A251&amp;"!B:B"),,0,1)</f>
        <v>-128.75</v>
      </c>
      <c r="D251" cm="1">
        <f t="array" aca="1" ref="D251" ca="1">_xlfn.XLOOKUP($B251,INDIRECT($A251&amp;"!A:A"),INDIRECT($A251&amp;"!E:E"),,0,1)</f>
        <v>8.4700000000000006</v>
      </c>
      <c r="E251" t="str">
        <f t="shared" ca="1" si="5"/>
        <v xml:space="preserve">              -128.75,8.47,0</v>
      </c>
    </row>
    <row r="252" spans="1:5" x14ac:dyDescent="0.35">
      <c r="A252" t="s">
        <v>43</v>
      </c>
      <c r="B252">
        <f>COUNTIFS(A$1:A252,A252)-1</f>
        <v>19</v>
      </c>
      <c r="C252" cm="1">
        <f t="array" aca="1" ref="C252" ca="1">_xlfn.XLOOKUP(B252,INDIRECT(A252&amp;"!A:A"),INDIRECT(A252&amp;"!B:B"),,0,1)</f>
        <v>-129</v>
      </c>
      <c r="D252" cm="1">
        <f t="array" aca="1" ref="D252" ca="1">_xlfn.XLOOKUP($B252,INDIRECT($A252&amp;"!A:A"),INDIRECT($A252&amp;"!E:E"),,0,1)</f>
        <v>7.83</v>
      </c>
      <c r="E252" t="str">
        <f t="shared" ca="1" si="5"/>
        <v xml:space="preserve">              -129,7.83,0</v>
      </c>
    </row>
    <row r="253" spans="1:5" x14ac:dyDescent="0.35">
      <c r="A253" t="s">
        <v>43</v>
      </c>
      <c r="B253">
        <f>COUNTIFS(A$1:A253,A253)-1</f>
        <v>20</v>
      </c>
      <c r="C253" cm="1">
        <f t="array" aca="1" ref="C253" ca="1">_xlfn.XLOOKUP(B253,INDIRECT(A253&amp;"!A:A"),INDIRECT(A253&amp;"!B:B"),,0,1)</f>
        <v>-129.25</v>
      </c>
      <c r="D253" cm="1">
        <f t="array" aca="1" ref="D253" ca="1">_xlfn.XLOOKUP($B253,INDIRECT($A253&amp;"!A:A"),INDIRECT($A253&amp;"!E:E"),,0,1)</f>
        <v>7.18</v>
      </c>
      <c r="E253" t="str">
        <f t="shared" ca="1" si="5"/>
        <v xml:space="preserve">              -129.25,7.18,0</v>
      </c>
    </row>
    <row r="254" spans="1:5" x14ac:dyDescent="0.35">
      <c r="A254" t="s">
        <v>43</v>
      </c>
      <c r="B254">
        <f>COUNTIFS(A$1:A254,A254)-1</f>
        <v>21</v>
      </c>
      <c r="C254" cm="1">
        <f t="array" aca="1" ref="C254" ca="1">_xlfn.XLOOKUP(B254,INDIRECT(A254&amp;"!A:A"),INDIRECT(A254&amp;"!B:B"),,0,1)</f>
        <v>-129.5</v>
      </c>
      <c r="D254" cm="1">
        <f t="array" aca="1" ref="D254" ca="1">_xlfn.XLOOKUP($B254,INDIRECT($A254&amp;"!A:A"),INDIRECT($A254&amp;"!E:E"),,0,1)</f>
        <v>6.53</v>
      </c>
      <c r="E254" t="str">
        <f t="shared" ca="1" si="5"/>
        <v xml:space="preserve">              -129.5,6.53,0</v>
      </c>
    </row>
    <row r="255" spans="1:5" x14ac:dyDescent="0.35">
      <c r="A255" t="s">
        <v>43</v>
      </c>
      <c r="B255">
        <f>COUNTIFS(A$1:A255,A255)-1</f>
        <v>22</v>
      </c>
      <c r="C255" cm="1">
        <f t="array" aca="1" ref="C255" ca="1">_xlfn.XLOOKUP(B255,INDIRECT(A255&amp;"!A:A"),INDIRECT(A255&amp;"!B:B"),,0,1)</f>
        <v>-129.75</v>
      </c>
      <c r="D255" cm="1">
        <f t="array" aca="1" ref="D255" ca="1">_xlfn.XLOOKUP($B255,INDIRECT($A255&amp;"!A:A"),INDIRECT($A255&amp;"!E:E"),,0,1)</f>
        <v>5.89</v>
      </c>
      <c r="E255" t="str">
        <f t="shared" ca="1" si="5"/>
        <v xml:space="preserve">              -129.75,5.89,0</v>
      </c>
    </row>
    <row r="256" spans="1:5" x14ac:dyDescent="0.35">
      <c r="A256" t="s">
        <v>43</v>
      </c>
      <c r="B256">
        <f>COUNTIFS(A$1:A256,A256)-1</f>
        <v>23</v>
      </c>
      <c r="C256" cm="1">
        <f t="array" aca="1" ref="C256" ca="1">_xlfn.XLOOKUP(B256,INDIRECT(A256&amp;"!A:A"),INDIRECT(A256&amp;"!B:B"),,0,1)</f>
        <v>-130</v>
      </c>
      <c r="D256" cm="1">
        <f t="array" aca="1" ref="D256" ca="1">_xlfn.XLOOKUP($B256,INDIRECT($A256&amp;"!A:A"),INDIRECT($A256&amp;"!E:E"),,0,1)</f>
        <v>5.24</v>
      </c>
      <c r="E256" t="str">
        <f t="shared" ca="1" si="5"/>
        <v xml:space="preserve">              -130,5.24,0</v>
      </c>
    </row>
    <row r="257" spans="1:5" x14ac:dyDescent="0.35">
      <c r="A257" t="s">
        <v>43</v>
      </c>
      <c r="B257">
        <f>COUNTIFS(A$1:A257,A257)-1</f>
        <v>24</v>
      </c>
      <c r="C257" cm="1">
        <f t="array" aca="1" ref="C257" ca="1">_xlfn.XLOOKUP(B257,INDIRECT(A257&amp;"!A:A"),INDIRECT(A257&amp;"!B:B"),,0,1)</f>
        <v>-130.25</v>
      </c>
      <c r="D257" cm="1">
        <f t="array" aca="1" ref="D257" ca="1">_xlfn.XLOOKUP($B257,INDIRECT($A257&amp;"!A:A"),INDIRECT($A257&amp;"!E:E"),,0,1)</f>
        <v>4.58</v>
      </c>
      <c r="E257" t="str">
        <f t="shared" ca="1" si="5"/>
        <v xml:space="preserve">              -130.25,4.58,0</v>
      </c>
    </row>
    <row r="258" spans="1:5" x14ac:dyDescent="0.35">
      <c r="A258" t="s">
        <v>43</v>
      </c>
      <c r="B258">
        <f>COUNTIFS(A$1:A258,A258)-1</f>
        <v>25</v>
      </c>
      <c r="C258" cm="1">
        <f t="array" aca="1" ref="C258" ca="1">_xlfn.XLOOKUP(B258,INDIRECT(A258&amp;"!A:A"),INDIRECT(A258&amp;"!B:B"),,0,1)</f>
        <v>-130.5</v>
      </c>
      <c r="D258" cm="1">
        <f t="array" aca="1" ref="D258" ca="1">_xlfn.XLOOKUP($B258,INDIRECT($A258&amp;"!A:A"),INDIRECT($A258&amp;"!E:E"),,0,1)</f>
        <v>3.93</v>
      </c>
      <c r="E258" t="str">
        <f t="shared" ca="1" si="5"/>
        <v xml:space="preserve">              -130.5,3.93,0</v>
      </c>
    </row>
    <row r="259" spans="1:5" x14ac:dyDescent="0.35">
      <c r="A259" t="s">
        <v>43</v>
      </c>
      <c r="B259">
        <f>COUNTIFS(A$1:A259,A259)-1</f>
        <v>26</v>
      </c>
      <c r="C259" cm="1">
        <f t="array" aca="1" ref="C259" ca="1">_xlfn.XLOOKUP(B259,INDIRECT(A259&amp;"!A:A"),INDIRECT(A259&amp;"!B:B"),,0,1)</f>
        <v>-130.75</v>
      </c>
      <c r="D259" cm="1">
        <f t="array" aca="1" ref="D259" ca="1">_xlfn.XLOOKUP($B259,INDIRECT($A259&amp;"!A:A"),INDIRECT($A259&amp;"!E:E"),,0,1)</f>
        <v>3.28</v>
      </c>
      <c r="E259" t="str">
        <f t="shared" ca="1" si="5"/>
        <v xml:space="preserve">              -130.75,3.28,0</v>
      </c>
    </row>
    <row r="260" spans="1:5" x14ac:dyDescent="0.35">
      <c r="A260" t="s">
        <v>43</v>
      </c>
      <c r="B260">
        <f>COUNTIFS(A$1:A260,A260)-1</f>
        <v>27</v>
      </c>
      <c r="C260" cm="1">
        <f t="array" aca="1" ref="C260" ca="1">_xlfn.XLOOKUP(B260,INDIRECT(A260&amp;"!A:A"),INDIRECT(A260&amp;"!B:B"),,0,1)</f>
        <v>-131</v>
      </c>
      <c r="D260" cm="1">
        <f t="array" aca="1" ref="D260" ca="1">_xlfn.XLOOKUP($B260,INDIRECT($A260&amp;"!A:A"),INDIRECT($A260&amp;"!E:E"),,0,1)</f>
        <v>2.62</v>
      </c>
      <c r="E260" t="str">
        <f t="shared" ca="1" si="5"/>
        <v xml:space="preserve">              -131,2.62,0</v>
      </c>
    </row>
    <row r="261" spans="1:5" x14ac:dyDescent="0.35">
      <c r="A261" t="s">
        <v>43</v>
      </c>
      <c r="B261">
        <f>COUNTIFS(A$1:A261,A261)-1</f>
        <v>28</v>
      </c>
      <c r="C261" cm="1">
        <f t="array" aca="1" ref="C261" ca="1">_xlfn.XLOOKUP(B261,INDIRECT(A261&amp;"!A:A"),INDIRECT(A261&amp;"!B:B"),,0,1)</f>
        <v>-131.25</v>
      </c>
      <c r="D261" cm="1">
        <f t="array" aca="1" ref="D261" ca="1">_xlfn.XLOOKUP($B261,INDIRECT($A261&amp;"!A:A"),INDIRECT($A261&amp;"!E:E"),,0,1)</f>
        <v>1.97</v>
      </c>
      <c r="E261" t="str">
        <f t="shared" ca="1" si="5"/>
        <v xml:space="preserve">              -131.25,1.97,0</v>
      </c>
    </row>
    <row r="262" spans="1:5" x14ac:dyDescent="0.35">
      <c r="A262" t="s">
        <v>43</v>
      </c>
      <c r="B262">
        <f>COUNTIFS(A$1:A262,A262)-1</f>
        <v>29</v>
      </c>
      <c r="C262" cm="1">
        <f t="array" aca="1" ref="C262" ca="1">_xlfn.XLOOKUP(B262,INDIRECT(A262&amp;"!A:A"),INDIRECT(A262&amp;"!B:B"),,0,1)</f>
        <v>-131.5</v>
      </c>
      <c r="D262" cm="1">
        <f t="array" aca="1" ref="D262" ca="1">_xlfn.XLOOKUP($B262,INDIRECT($A262&amp;"!A:A"),INDIRECT($A262&amp;"!E:E"),,0,1)</f>
        <v>1.31</v>
      </c>
      <c r="E262" t="str">
        <f t="shared" ca="1" si="5"/>
        <v xml:space="preserve">              -131.5,1.31,0</v>
      </c>
    </row>
    <row r="263" spans="1:5" x14ac:dyDescent="0.35">
      <c r="A263" t="s">
        <v>43</v>
      </c>
      <c r="B263">
        <f>COUNTIFS(A$1:A263,A263)-1</f>
        <v>30</v>
      </c>
      <c r="C263" cm="1">
        <f t="array" aca="1" ref="C263" ca="1">_xlfn.XLOOKUP(B263,INDIRECT(A263&amp;"!A:A"),INDIRECT(A263&amp;"!B:B"),,0,1)</f>
        <v>-131.75</v>
      </c>
      <c r="D263" cm="1">
        <f t="array" aca="1" ref="D263" ca="1">_xlfn.XLOOKUP($B263,INDIRECT($A263&amp;"!A:A"),INDIRECT($A263&amp;"!E:E"),,0,1)</f>
        <v>0.66</v>
      </c>
      <c r="E263" t="str">
        <f t="shared" ca="1" si="5"/>
        <v xml:space="preserve">              -131.75,0.66,0</v>
      </c>
    </row>
    <row r="264" spans="1:5" x14ac:dyDescent="0.35">
      <c r="A264" t="s">
        <v>43</v>
      </c>
      <c r="B264">
        <f>COUNTIFS(A$1:A264,A264)-1</f>
        <v>31</v>
      </c>
      <c r="C264" cm="1">
        <f t="array" aca="1" ref="C264" ca="1">_xlfn.XLOOKUP(B264,INDIRECT(A264&amp;"!A:A"),INDIRECT(A264&amp;"!B:B"),,0,1)</f>
        <v>-132</v>
      </c>
      <c r="D264" cm="1">
        <f t="array" aca="1" ref="D264" ca="1">_xlfn.XLOOKUP($B264,INDIRECT($A264&amp;"!A:A"),INDIRECT($A264&amp;"!E:E"),,0,1)</f>
        <v>0</v>
      </c>
      <c r="E264" t="str">
        <f t="shared" ca="1" si="5"/>
        <v xml:space="preserve">              -132,0,0</v>
      </c>
    </row>
    <row r="265" spans="1:5" x14ac:dyDescent="0.35">
      <c r="A265" t="s">
        <v>43</v>
      </c>
      <c r="B265">
        <f>COUNTIFS(A$1:A265,A265)-1</f>
        <v>32</v>
      </c>
      <c r="C265" cm="1">
        <f t="array" aca="1" ref="C265" ca="1">_xlfn.XLOOKUP(B265,INDIRECT(A265&amp;"!A:A"),INDIRECT(A265&amp;"!B:B"),,0,1)</f>
        <v>-132.25</v>
      </c>
      <c r="D265" cm="1">
        <f t="array" aca="1" ref="D265" ca="1">_xlfn.XLOOKUP($B265,INDIRECT($A265&amp;"!A:A"),INDIRECT($A265&amp;"!E:E"),,0,1)</f>
        <v>-0.66</v>
      </c>
      <c r="E265" t="str">
        <f t="shared" ca="1" si="5"/>
        <v xml:space="preserve">              -132.25,-0.66,0</v>
      </c>
    </row>
    <row r="266" spans="1:5" x14ac:dyDescent="0.35">
      <c r="A266" t="s">
        <v>43</v>
      </c>
      <c r="B266">
        <f>COUNTIFS(A$1:A266,A266)-1</f>
        <v>33</v>
      </c>
      <c r="C266" cm="1">
        <f t="array" aca="1" ref="C266" ca="1">_xlfn.XLOOKUP(B266,INDIRECT(A266&amp;"!A:A"),INDIRECT(A266&amp;"!B:B"),,0,1)</f>
        <v>-132.5</v>
      </c>
      <c r="D266" cm="1">
        <f t="array" aca="1" ref="D266" ca="1">_xlfn.XLOOKUP($B266,INDIRECT($A266&amp;"!A:A"),INDIRECT($A266&amp;"!E:E"),,0,1)</f>
        <v>-1.31</v>
      </c>
      <c r="E266" t="str">
        <f t="shared" ca="1" si="5"/>
        <v xml:space="preserve">              -132.5,-1.31,0</v>
      </c>
    </row>
    <row r="267" spans="1:5" x14ac:dyDescent="0.35">
      <c r="A267" t="s">
        <v>43</v>
      </c>
      <c r="B267">
        <f>COUNTIFS(A$1:A267,A267)-1</f>
        <v>34</v>
      </c>
      <c r="C267" cm="1">
        <f t="array" aca="1" ref="C267" ca="1">_xlfn.XLOOKUP(B267,INDIRECT(A267&amp;"!A:A"),INDIRECT(A267&amp;"!B:B"),,0,1)</f>
        <v>-132.75</v>
      </c>
      <c r="D267" cm="1">
        <f t="array" aca="1" ref="D267" ca="1">_xlfn.XLOOKUP($B267,INDIRECT($A267&amp;"!A:A"),INDIRECT($A267&amp;"!E:E"),,0,1)</f>
        <v>-1.97</v>
      </c>
      <c r="E267" t="str">
        <f t="shared" ca="1" si="5"/>
        <v xml:space="preserve">              -132.75,-1.97,0</v>
      </c>
    </row>
    <row r="268" spans="1:5" x14ac:dyDescent="0.35">
      <c r="A268" t="s">
        <v>43</v>
      </c>
      <c r="B268">
        <f>COUNTIFS(A$1:A268,A268)-1</f>
        <v>35</v>
      </c>
      <c r="C268" cm="1">
        <f t="array" aca="1" ref="C268" ca="1">_xlfn.XLOOKUP(B268,INDIRECT(A268&amp;"!A:A"),INDIRECT(A268&amp;"!B:B"),,0,1)</f>
        <v>-133</v>
      </c>
      <c r="D268" cm="1">
        <f t="array" aca="1" ref="D268" ca="1">_xlfn.XLOOKUP($B268,INDIRECT($A268&amp;"!A:A"),INDIRECT($A268&amp;"!E:E"),,0,1)</f>
        <v>-2.62</v>
      </c>
      <c r="E268" t="str">
        <f t="shared" ca="1" si="5"/>
        <v xml:space="preserve">              -133,-2.62,0</v>
      </c>
    </row>
    <row r="269" spans="1:5" x14ac:dyDescent="0.35">
      <c r="A269" t="s">
        <v>43</v>
      </c>
      <c r="B269">
        <f>COUNTIFS(A$1:A269,A269)-1</f>
        <v>36</v>
      </c>
      <c r="C269" cm="1">
        <f t="array" aca="1" ref="C269" ca="1">_xlfn.XLOOKUP(B269,INDIRECT(A269&amp;"!A:A"),INDIRECT(A269&amp;"!B:B"),,0,1)</f>
        <v>-133.25</v>
      </c>
      <c r="D269" cm="1">
        <f t="array" aca="1" ref="D269" ca="1">_xlfn.XLOOKUP($B269,INDIRECT($A269&amp;"!A:A"),INDIRECT($A269&amp;"!E:E"),,0,1)</f>
        <v>-3.28</v>
      </c>
      <c r="E269" t="str">
        <f t="shared" ca="1" si="5"/>
        <v xml:space="preserve">              -133.25,-3.28,0</v>
      </c>
    </row>
    <row r="270" spans="1:5" x14ac:dyDescent="0.35">
      <c r="A270" t="s">
        <v>43</v>
      </c>
      <c r="B270">
        <f>COUNTIFS(A$1:A270,A270)-1</f>
        <v>37</v>
      </c>
      <c r="C270" cm="1">
        <f t="array" aca="1" ref="C270" ca="1">_xlfn.XLOOKUP(B270,INDIRECT(A270&amp;"!A:A"),INDIRECT(A270&amp;"!B:B"),,0,1)</f>
        <v>-133.5</v>
      </c>
      <c r="D270" cm="1">
        <f t="array" aca="1" ref="D270" ca="1">_xlfn.XLOOKUP($B270,INDIRECT($A270&amp;"!A:A"),INDIRECT($A270&amp;"!E:E"),,0,1)</f>
        <v>-3.93</v>
      </c>
      <c r="E270" t="str">
        <f t="shared" ca="1" si="5"/>
        <v xml:space="preserve">              -133.5,-3.93,0</v>
      </c>
    </row>
    <row r="271" spans="1:5" x14ac:dyDescent="0.35">
      <c r="A271" t="s">
        <v>43</v>
      </c>
      <c r="B271">
        <f>COUNTIFS(A$1:A271,A271)-1</f>
        <v>38</v>
      </c>
      <c r="C271" cm="1">
        <f t="array" aca="1" ref="C271" ca="1">_xlfn.XLOOKUP(B271,INDIRECT(A271&amp;"!A:A"),INDIRECT(A271&amp;"!B:B"),,0,1)</f>
        <v>-133.75</v>
      </c>
      <c r="D271" cm="1">
        <f t="array" aca="1" ref="D271" ca="1">_xlfn.XLOOKUP($B271,INDIRECT($A271&amp;"!A:A"),INDIRECT($A271&amp;"!E:E"),,0,1)</f>
        <v>-4.58</v>
      </c>
      <c r="E271" t="str">
        <f t="shared" ca="1" si="5"/>
        <v xml:space="preserve">              -133.75,-4.58,0</v>
      </c>
    </row>
    <row r="272" spans="1:5" x14ac:dyDescent="0.35">
      <c r="A272" t="s">
        <v>43</v>
      </c>
      <c r="B272">
        <f>COUNTIFS(A$1:A272,A272)-1</f>
        <v>39</v>
      </c>
      <c r="C272" cm="1">
        <f t="array" aca="1" ref="C272" ca="1">_xlfn.XLOOKUP(B272,INDIRECT(A272&amp;"!A:A"),INDIRECT(A272&amp;"!B:B"),,0,1)</f>
        <v>-134</v>
      </c>
      <c r="D272" cm="1">
        <f t="array" aca="1" ref="D272" ca="1">_xlfn.XLOOKUP($B272,INDIRECT($A272&amp;"!A:A"),INDIRECT($A272&amp;"!E:E"),,0,1)</f>
        <v>-5.24</v>
      </c>
      <c r="E272" t="str">
        <f t="shared" ca="1" si="5"/>
        <v xml:space="preserve">              -134,-5.24,0</v>
      </c>
    </row>
    <row r="273" spans="1:5" x14ac:dyDescent="0.35">
      <c r="A273" t="s">
        <v>43</v>
      </c>
      <c r="B273">
        <f>COUNTIFS(A$1:A273,A273)-1</f>
        <v>40</v>
      </c>
      <c r="C273" cm="1">
        <f t="array" aca="1" ref="C273" ca="1">_xlfn.XLOOKUP(B273,INDIRECT(A273&amp;"!A:A"),INDIRECT(A273&amp;"!B:B"),,0,1)</f>
        <v>-134.25</v>
      </c>
      <c r="D273" cm="1">
        <f t="array" aca="1" ref="D273" ca="1">_xlfn.XLOOKUP($B273,INDIRECT($A273&amp;"!A:A"),INDIRECT($A273&amp;"!E:E"),,0,1)</f>
        <v>-5.89</v>
      </c>
      <c r="E273" t="str">
        <f t="shared" ca="1" si="5"/>
        <v xml:space="preserve">              -134.25,-5.89,0</v>
      </c>
    </row>
    <row r="274" spans="1:5" x14ac:dyDescent="0.35">
      <c r="A274" t="s">
        <v>43</v>
      </c>
      <c r="B274">
        <f>COUNTIFS(A$1:A274,A274)-1</f>
        <v>41</v>
      </c>
      <c r="C274" cm="1">
        <f t="array" aca="1" ref="C274" ca="1">_xlfn.XLOOKUP(B274,INDIRECT(A274&amp;"!A:A"),INDIRECT(A274&amp;"!B:B"),,0,1)</f>
        <v>-134.5</v>
      </c>
      <c r="D274" cm="1">
        <f t="array" aca="1" ref="D274" ca="1">_xlfn.XLOOKUP($B274,INDIRECT($A274&amp;"!A:A"),INDIRECT($A274&amp;"!E:E"),,0,1)</f>
        <v>-6.53</v>
      </c>
      <c r="E274" t="str">
        <f t="shared" ca="1" si="5"/>
        <v xml:space="preserve">              -134.5,-6.53,0</v>
      </c>
    </row>
    <row r="275" spans="1:5" x14ac:dyDescent="0.35">
      <c r="A275" t="s">
        <v>43</v>
      </c>
      <c r="B275">
        <f>COUNTIFS(A$1:A275,A275)-1</f>
        <v>42</v>
      </c>
      <c r="C275" cm="1">
        <f t="array" aca="1" ref="C275" ca="1">_xlfn.XLOOKUP(B275,INDIRECT(A275&amp;"!A:A"),INDIRECT(A275&amp;"!B:B"),,0,1)</f>
        <v>-134.75</v>
      </c>
      <c r="D275" cm="1">
        <f t="array" aca="1" ref="D275" ca="1">_xlfn.XLOOKUP($B275,INDIRECT($A275&amp;"!A:A"),INDIRECT($A275&amp;"!E:E"),,0,1)</f>
        <v>-7.18</v>
      </c>
      <c r="E275" t="str">
        <f t="shared" ca="1" si="5"/>
        <v xml:space="preserve">              -134.75,-7.18,0</v>
      </c>
    </row>
    <row r="276" spans="1:5" x14ac:dyDescent="0.35">
      <c r="A276" t="s">
        <v>43</v>
      </c>
      <c r="B276">
        <f>COUNTIFS(A$1:A276,A276)-1</f>
        <v>43</v>
      </c>
      <c r="C276" cm="1">
        <f t="array" aca="1" ref="C276" ca="1">_xlfn.XLOOKUP(B276,INDIRECT(A276&amp;"!A:A"),INDIRECT(A276&amp;"!B:B"),,0,1)</f>
        <v>-135</v>
      </c>
      <c r="D276" cm="1">
        <f t="array" aca="1" ref="D276" ca="1">_xlfn.XLOOKUP($B276,INDIRECT($A276&amp;"!A:A"),INDIRECT($A276&amp;"!E:E"),,0,1)</f>
        <v>-7.83</v>
      </c>
      <c r="E276" t="str">
        <f t="shared" ca="1" si="5"/>
        <v xml:space="preserve">              -135,-7.83,0</v>
      </c>
    </row>
    <row r="277" spans="1:5" x14ac:dyDescent="0.35">
      <c r="A277" t="s">
        <v>43</v>
      </c>
      <c r="B277">
        <f>COUNTIFS(A$1:A277,A277)-1</f>
        <v>44</v>
      </c>
      <c r="C277" cm="1">
        <f t="array" aca="1" ref="C277" ca="1">_xlfn.XLOOKUP(B277,INDIRECT(A277&amp;"!A:A"),INDIRECT(A277&amp;"!B:B"),,0,1)</f>
        <v>-135.25</v>
      </c>
      <c r="D277" cm="1">
        <f t="array" aca="1" ref="D277" ca="1">_xlfn.XLOOKUP($B277,INDIRECT($A277&amp;"!A:A"),INDIRECT($A277&amp;"!E:E"),,0,1)</f>
        <v>-8.4700000000000006</v>
      </c>
      <c r="E277" t="str">
        <f t="shared" ca="1" si="5"/>
        <v xml:space="preserve">              -135.25,-8.47,0</v>
      </c>
    </row>
    <row r="278" spans="1:5" x14ac:dyDescent="0.35">
      <c r="A278" t="s">
        <v>43</v>
      </c>
      <c r="B278">
        <f>COUNTIFS(A$1:A278,A278)-1</f>
        <v>45</v>
      </c>
      <c r="C278" cm="1">
        <f t="array" aca="1" ref="C278" ca="1">_xlfn.XLOOKUP(B278,INDIRECT(A278&amp;"!A:A"),INDIRECT(A278&amp;"!B:B"),,0,1)</f>
        <v>-135.5</v>
      </c>
      <c r="D278" cm="1">
        <f t="array" aca="1" ref="D278" ca="1">_xlfn.XLOOKUP($B278,INDIRECT($A278&amp;"!A:A"),INDIRECT($A278&amp;"!E:E"),,0,1)</f>
        <v>-9.11</v>
      </c>
      <c r="E278" t="str">
        <f t="shared" ca="1" si="5"/>
        <v xml:space="preserve">              -135.5,-9.11,0</v>
      </c>
    </row>
    <row r="279" spans="1:5" x14ac:dyDescent="0.35">
      <c r="A279" t="s">
        <v>43</v>
      </c>
      <c r="B279">
        <f>COUNTIFS(A$1:A279,A279)-1</f>
        <v>46</v>
      </c>
      <c r="C279" cm="1">
        <f t="array" aca="1" ref="C279" ca="1">_xlfn.XLOOKUP(B279,INDIRECT(A279&amp;"!A:A"),INDIRECT(A279&amp;"!B:B"),,0,1)</f>
        <v>-135.75</v>
      </c>
      <c r="D279" cm="1">
        <f t="array" aca="1" ref="D279" ca="1">_xlfn.XLOOKUP($B279,INDIRECT($A279&amp;"!A:A"),INDIRECT($A279&amp;"!E:E"),,0,1)</f>
        <v>-9.75</v>
      </c>
      <c r="E279" t="str">
        <f t="shared" ca="1" si="5"/>
        <v xml:space="preserve">              -135.75,-9.75,0</v>
      </c>
    </row>
    <row r="280" spans="1:5" x14ac:dyDescent="0.35">
      <c r="A280" t="s">
        <v>43</v>
      </c>
      <c r="B280">
        <f>COUNTIFS(A$1:A280,A280)-1</f>
        <v>47</v>
      </c>
      <c r="C280" cm="1">
        <f t="array" aca="1" ref="C280" ca="1">_xlfn.XLOOKUP(B280,INDIRECT(A280&amp;"!A:A"),INDIRECT(A280&amp;"!B:B"),,0,1)</f>
        <v>-136</v>
      </c>
      <c r="D280" cm="1">
        <f t="array" aca="1" ref="D280" ca="1">_xlfn.XLOOKUP($B280,INDIRECT($A280&amp;"!A:A"),INDIRECT($A280&amp;"!E:E"),,0,1)</f>
        <v>-10.38</v>
      </c>
      <c r="E280" t="str">
        <f t="shared" ca="1" si="5"/>
        <v xml:space="preserve">              -136,-10.38,0</v>
      </c>
    </row>
    <row r="281" spans="1:5" x14ac:dyDescent="0.35">
      <c r="A281" t="s">
        <v>43</v>
      </c>
      <c r="B281">
        <f>COUNTIFS(A$1:A281,A281)-1</f>
        <v>48</v>
      </c>
      <c r="C281" cm="1">
        <f t="array" aca="1" ref="C281" ca="1">_xlfn.XLOOKUP(B281,INDIRECT(A281&amp;"!A:A"),INDIRECT(A281&amp;"!B:B"),,0,1)</f>
        <v>-136.25</v>
      </c>
      <c r="D281" cm="1">
        <f t="array" aca="1" ref="D281" ca="1">_xlfn.XLOOKUP($B281,INDIRECT($A281&amp;"!A:A"),INDIRECT($A281&amp;"!E:E"),,0,1)</f>
        <v>-11.01</v>
      </c>
      <c r="E281" t="str">
        <f t="shared" ca="1" si="5"/>
        <v xml:space="preserve">              -136.25,-11.01,0</v>
      </c>
    </row>
    <row r="282" spans="1:5" x14ac:dyDescent="0.35">
      <c r="A282" t="s">
        <v>43</v>
      </c>
      <c r="B282">
        <f>COUNTIFS(A$1:A282,A282)-1</f>
        <v>49</v>
      </c>
      <c r="C282" cm="1">
        <f t="array" aca="1" ref="C282" ca="1">_xlfn.XLOOKUP(B282,INDIRECT(A282&amp;"!A:A"),INDIRECT(A282&amp;"!B:B"),,0,1)</f>
        <v>-136.5</v>
      </c>
      <c r="D282" cm="1">
        <f t="array" aca="1" ref="D282" ca="1">_xlfn.XLOOKUP($B282,INDIRECT($A282&amp;"!A:A"),INDIRECT($A282&amp;"!E:E"),,0,1)</f>
        <v>-11.64</v>
      </c>
      <c r="E282" t="str">
        <f t="shared" ca="1" si="5"/>
        <v xml:space="preserve">              -136.5,-11.64,0</v>
      </c>
    </row>
    <row r="283" spans="1:5" x14ac:dyDescent="0.35">
      <c r="A283" t="s">
        <v>43</v>
      </c>
      <c r="B283">
        <f>COUNTIFS(A$1:A283,A283)-1</f>
        <v>50</v>
      </c>
      <c r="C283" cm="1">
        <f t="array" aca="1" ref="C283" ca="1">_xlfn.XLOOKUP(B283,INDIRECT(A283&amp;"!A:A"),INDIRECT(A283&amp;"!B:B"),,0,1)</f>
        <v>-136.75</v>
      </c>
      <c r="D283" cm="1">
        <f t="array" aca="1" ref="D283" ca="1">_xlfn.XLOOKUP($B283,INDIRECT($A283&amp;"!A:A"),INDIRECT($A283&amp;"!E:E"),,0,1)</f>
        <v>-12.27</v>
      </c>
      <c r="E283" t="str">
        <f t="shared" ca="1" si="5"/>
        <v xml:space="preserve">              -136.75,-12.27,0</v>
      </c>
    </row>
    <row r="284" spans="1:5" x14ac:dyDescent="0.35">
      <c r="A284" t="s">
        <v>43</v>
      </c>
      <c r="B284">
        <f>COUNTIFS(A$1:A284,A284)-1</f>
        <v>51</v>
      </c>
      <c r="C284" cm="1">
        <f t="array" aca="1" ref="C284" ca="1">_xlfn.XLOOKUP(B284,INDIRECT(A284&amp;"!A:A"),INDIRECT(A284&amp;"!B:B"),,0,1)</f>
        <v>-137</v>
      </c>
      <c r="D284" cm="1">
        <f t="array" aca="1" ref="D284" ca="1">_xlfn.XLOOKUP($B284,INDIRECT($A284&amp;"!A:A"),INDIRECT($A284&amp;"!E:E"),,0,1)</f>
        <v>-12.89</v>
      </c>
      <c r="E284" t="str">
        <f t="shared" ca="1" si="5"/>
        <v xml:space="preserve">              -137,-12.89,0</v>
      </c>
    </row>
    <row r="285" spans="1:5" x14ac:dyDescent="0.35">
      <c r="A285" t="s">
        <v>43</v>
      </c>
      <c r="B285">
        <f>COUNTIFS(A$1:A285,A285)-1</f>
        <v>52</v>
      </c>
      <c r="C285" cm="1">
        <f t="array" aca="1" ref="C285" ca="1">_xlfn.XLOOKUP(B285,INDIRECT(A285&amp;"!A:A"),INDIRECT(A285&amp;"!B:B"),,0,1)</f>
        <v>-137.25</v>
      </c>
      <c r="D285" cm="1">
        <f t="array" aca="1" ref="D285" ca="1">_xlfn.XLOOKUP($B285,INDIRECT($A285&amp;"!A:A"),INDIRECT($A285&amp;"!E:E"),,0,1)</f>
        <v>-13.51</v>
      </c>
      <c r="E285" t="str">
        <f t="shared" ca="1" si="5"/>
        <v xml:space="preserve">              -137.25,-13.51,0</v>
      </c>
    </row>
    <row r="286" spans="1:5" x14ac:dyDescent="0.35">
      <c r="A286" t="s">
        <v>43</v>
      </c>
      <c r="B286">
        <f>COUNTIFS(A$1:A286,A286)-1</f>
        <v>53</v>
      </c>
      <c r="C286" cm="1">
        <f t="array" aca="1" ref="C286" ca="1">_xlfn.XLOOKUP(B286,INDIRECT(A286&amp;"!A:A"),INDIRECT(A286&amp;"!B:B"),,0,1)</f>
        <v>-137.5</v>
      </c>
      <c r="D286" cm="1">
        <f t="array" aca="1" ref="D286" ca="1">_xlfn.XLOOKUP($B286,INDIRECT($A286&amp;"!A:A"),INDIRECT($A286&amp;"!E:E"),,0,1)</f>
        <v>-14.13</v>
      </c>
      <c r="E286" t="str">
        <f t="shared" ca="1" si="5"/>
        <v xml:space="preserve">              -137.5,-14.13,0</v>
      </c>
    </row>
    <row r="287" spans="1:5" x14ac:dyDescent="0.35">
      <c r="A287" t="s">
        <v>43</v>
      </c>
      <c r="B287">
        <f>COUNTIFS(A$1:A287,A287)-1</f>
        <v>54</v>
      </c>
      <c r="C287" cm="1">
        <f t="array" aca="1" ref="C287" ca="1">_xlfn.XLOOKUP(B287,INDIRECT(A287&amp;"!A:A"),INDIRECT(A287&amp;"!B:B"),,0,1)</f>
        <v>-137.75</v>
      </c>
      <c r="D287" cm="1">
        <f t="array" aca="1" ref="D287" ca="1">_xlfn.XLOOKUP($B287,INDIRECT($A287&amp;"!A:A"),INDIRECT($A287&amp;"!E:E"),,0,1)</f>
        <v>-14.74</v>
      </c>
      <c r="E287" t="str">
        <f t="shared" ca="1" si="5"/>
        <v xml:space="preserve">              -137.75,-14.74,0</v>
      </c>
    </row>
    <row r="288" spans="1:5" x14ac:dyDescent="0.35">
      <c r="A288" t="s">
        <v>43</v>
      </c>
      <c r="B288">
        <f>COUNTIFS(A$1:A288,A288)-1</f>
        <v>55</v>
      </c>
      <c r="C288" cm="1">
        <f t="array" aca="1" ref="C288" ca="1">_xlfn.XLOOKUP(B288,INDIRECT(A288&amp;"!A:A"),INDIRECT(A288&amp;"!B:B"),,0,1)</f>
        <v>-138</v>
      </c>
      <c r="D288" cm="1">
        <f t="array" aca="1" ref="D288" ca="1">_xlfn.XLOOKUP($B288,INDIRECT($A288&amp;"!A:A"),INDIRECT($A288&amp;"!E:E"),,0,1)</f>
        <v>-15.35</v>
      </c>
      <c r="E288" t="str">
        <f t="shared" ca="1" si="5"/>
        <v xml:space="preserve">              -138,-15.35,0</v>
      </c>
    </row>
    <row r="289" spans="1:5" x14ac:dyDescent="0.35">
      <c r="A289" t="s">
        <v>43</v>
      </c>
      <c r="B289">
        <f>COUNTIFS(A$1:A289,A289)-1</f>
        <v>56</v>
      </c>
      <c r="C289" cm="1">
        <f t="array" aca="1" ref="C289" ca="1">_xlfn.XLOOKUP(B289,INDIRECT(A289&amp;"!A:A"),INDIRECT(A289&amp;"!B:B"),,0,1)</f>
        <v>-138.25</v>
      </c>
      <c r="D289" cm="1">
        <f t="array" aca="1" ref="D289" ca="1">_xlfn.XLOOKUP($B289,INDIRECT($A289&amp;"!A:A"),INDIRECT($A289&amp;"!E:E"),,0,1)</f>
        <v>-15.95</v>
      </c>
      <c r="E289" t="str">
        <f t="shared" ca="1" si="5"/>
        <v xml:space="preserve">              -138.25,-15.95,0</v>
      </c>
    </row>
    <row r="290" spans="1:5" x14ac:dyDescent="0.35">
      <c r="A290" t="s">
        <v>43</v>
      </c>
      <c r="B290">
        <f>COUNTIFS(A$1:A290,A290)-1</f>
        <v>57</v>
      </c>
      <c r="C290" cm="1">
        <f t="array" aca="1" ref="C290" ca="1">_xlfn.XLOOKUP(B290,INDIRECT(A290&amp;"!A:A"),INDIRECT(A290&amp;"!B:B"),,0,1)</f>
        <v>-138.5</v>
      </c>
      <c r="D290" cm="1">
        <f t="array" aca="1" ref="D290" ca="1">_xlfn.XLOOKUP($B290,INDIRECT($A290&amp;"!A:A"),INDIRECT($A290&amp;"!E:E"),,0,1)</f>
        <v>-16.559999999999999</v>
      </c>
      <c r="E290" t="str">
        <f t="shared" ca="1" si="5"/>
        <v xml:space="preserve">              -138.5,-16.56,0</v>
      </c>
    </row>
    <row r="291" spans="1:5" x14ac:dyDescent="0.35">
      <c r="A291" t="s">
        <v>43</v>
      </c>
      <c r="B291">
        <f>COUNTIFS(A$1:A291,A291)-1</f>
        <v>58</v>
      </c>
      <c r="C291" cm="1">
        <f t="array" aca="1" ref="C291" ca="1">_xlfn.XLOOKUP(B291,INDIRECT(A291&amp;"!A:A"),INDIRECT(A291&amp;"!B:B"),,0,1)</f>
        <v>-138.75</v>
      </c>
      <c r="D291" cm="1">
        <f t="array" aca="1" ref="D291" ca="1">_xlfn.XLOOKUP($B291,INDIRECT($A291&amp;"!A:A"),INDIRECT($A291&amp;"!E:E"),,0,1)</f>
        <v>-17.149999999999999</v>
      </c>
      <c r="E291" t="str">
        <f t="shared" ca="1" si="5"/>
        <v xml:space="preserve">              -138.75,-17.15,0</v>
      </c>
    </row>
    <row r="292" spans="1:5" x14ac:dyDescent="0.35">
      <c r="A292" t="s">
        <v>43</v>
      </c>
      <c r="B292">
        <f>COUNTIFS(A$1:A292,A292)-1</f>
        <v>59</v>
      </c>
      <c r="C292" cm="1">
        <f t="array" aca="1" ref="C292" ca="1">_xlfn.XLOOKUP(B292,INDIRECT(A292&amp;"!A:A"),INDIRECT(A292&amp;"!B:B"),,0,1)</f>
        <v>-139</v>
      </c>
      <c r="D292" cm="1">
        <f t="array" aca="1" ref="D292" ca="1">_xlfn.XLOOKUP($B292,INDIRECT($A292&amp;"!A:A"),INDIRECT($A292&amp;"!E:E"),,0,1)</f>
        <v>-17.75</v>
      </c>
      <c r="E292" t="str">
        <f t="shared" ca="1" si="5"/>
        <v xml:space="preserve">              -139,-17.75,0</v>
      </c>
    </row>
    <row r="293" spans="1:5" x14ac:dyDescent="0.35">
      <c r="A293" t="s">
        <v>43</v>
      </c>
      <c r="B293">
        <f>COUNTIFS(A$1:A293,A293)-1</f>
        <v>60</v>
      </c>
      <c r="C293" cm="1">
        <f t="array" aca="1" ref="C293" ca="1">_xlfn.XLOOKUP(B293,INDIRECT(A293&amp;"!A:A"),INDIRECT(A293&amp;"!B:B"),,0,1)</f>
        <v>-139.25</v>
      </c>
      <c r="D293" cm="1">
        <f t="array" aca="1" ref="D293" ca="1">_xlfn.XLOOKUP($B293,INDIRECT($A293&amp;"!A:A"),INDIRECT($A293&amp;"!E:E"),,0,1)</f>
        <v>-18.34</v>
      </c>
      <c r="E293" t="str">
        <f t="shared" ca="1" si="5"/>
        <v xml:space="preserve">              -139.25,-18.34,0</v>
      </c>
    </row>
    <row r="294" spans="1:5" x14ac:dyDescent="0.35">
      <c r="A294" t="s">
        <v>43</v>
      </c>
      <c r="B294">
        <f>COUNTIFS(A$1:A294,A294)-1</f>
        <v>61</v>
      </c>
      <c r="C294" cm="1">
        <f t="array" aca="1" ref="C294" ca="1">_xlfn.XLOOKUP(B294,INDIRECT(A294&amp;"!A:A"),INDIRECT(A294&amp;"!B:B"),,0,1)</f>
        <v>-139.5</v>
      </c>
      <c r="D294" cm="1">
        <f t="array" aca="1" ref="D294" ca="1">_xlfn.XLOOKUP($B294,INDIRECT($A294&amp;"!A:A"),INDIRECT($A294&amp;"!E:E"),,0,1)</f>
        <v>-18.920000000000002</v>
      </c>
      <c r="E294" t="str">
        <f t="shared" ca="1" si="5"/>
        <v xml:space="preserve">              -139.5,-18.92,0</v>
      </c>
    </row>
    <row r="295" spans="1:5" x14ac:dyDescent="0.35">
      <c r="A295" t="s">
        <v>43</v>
      </c>
      <c r="B295">
        <f>COUNTIFS(A$1:A295,A295)-1</f>
        <v>62</v>
      </c>
      <c r="C295" cm="1">
        <f t="array" aca="1" ref="C295" ca="1">_xlfn.XLOOKUP(B295,INDIRECT(A295&amp;"!A:A"),INDIRECT(A295&amp;"!B:B"),,0,1)</f>
        <v>-139.75</v>
      </c>
      <c r="D295" cm="1">
        <f t="array" aca="1" ref="D295" ca="1">_xlfn.XLOOKUP($B295,INDIRECT($A295&amp;"!A:A"),INDIRECT($A295&amp;"!E:E"),,0,1)</f>
        <v>-19.5</v>
      </c>
      <c r="E295" t="str">
        <f t="shared" ca="1" si="5"/>
        <v xml:space="preserve">              -139.75,-19.5,0</v>
      </c>
    </row>
    <row r="296" spans="1:5" x14ac:dyDescent="0.35">
      <c r="A296" t="s">
        <v>44</v>
      </c>
      <c r="B296">
        <f>COUNTIFS(A$1:A296,A296)-1</f>
        <v>0</v>
      </c>
      <c r="C296" cm="1">
        <f t="array" aca="1" ref="C296" ca="1">_xlfn.XLOOKUP(B296,INDIRECT(A296&amp;"!A:A"),INDIRECT(A296&amp;"!B:B"),,0,1)</f>
        <v>-139.75</v>
      </c>
      <c r="D296" cm="1">
        <f t="array" aca="1" ref="D296" ca="1">_xlfn.XLOOKUP($B296,INDIRECT($A296&amp;"!A:A"),INDIRECT($A296&amp;"!E:E"),,0,1)</f>
        <v>-19.5</v>
      </c>
      <c r="E296" t="str">
        <f t="shared" ca="1" si="5"/>
        <v xml:space="preserve">              -139.75,-19.5,0</v>
      </c>
    </row>
    <row r="297" spans="1:5" x14ac:dyDescent="0.35">
      <c r="A297" t="s">
        <v>44</v>
      </c>
      <c r="B297">
        <f>COUNTIFS(A$1:A297,A297)-1</f>
        <v>1</v>
      </c>
      <c r="C297" cm="1">
        <f t="array" aca="1" ref="C297" ca="1">_xlfn.XLOOKUP(B297,INDIRECT(A297&amp;"!A:A"),INDIRECT(A297&amp;"!B:B"),,0,1)</f>
        <v>-140</v>
      </c>
      <c r="D297" cm="1">
        <f t="array" aca="1" ref="D297" ca="1">_xlfn.XLOOKUP($B297,INDIRECT($A297&amp;"!A:A"),INDIRECT($A297&amp;"!E:E"),,0,1)</f>
        <v>-19.53</v>
      </c>
      <c r="E297" t="str">
        <f t="shared" ref="E297:E360" ca="1" si="6">"              "&amp;C297&amp;","&amp;D297&amp;",0"</f>
        <v xml:space="preserve">              -140,-19.53,0</v>
      </c>
    </row>
    <row r="298" spans="1:5" x14ac:dyDescent="0.35">
      <c r="A298" t="s">
        <v>44</v>
      </c>
      <c r="B298">
        <f>COUNTIFS(A$1:A298,A298)-1</f>
        <v>2</v>
      </c>
      <c r="C298" cm="1">
        <f t="array" aca="1" ref="C298" ca="1">_xlfn.XLOOKUP(B298,INDIRECT(A298&amp;"!A:A"),INDIRECT(A298&amp;"!B:B"),,0,1)</f>
        <v>-140.25</v>
      </c>
      <c r="D298" cm="1">
        <f t="array" aca="1" ref="D298" ca="1">_xlfn.XLOOKUP($B298,INDIRECT($A298&amp;"!A:A"),INDIRECT($A298&amp;"!E:E"),,0,1)</f>
        <v>-19.559999999999999</v>
      </c>
      <c r="E298" t="str">
        <f t="shared" ca="1" si="6"/>
        <v xml:space="preserve">              -140.25,-19.56,0</v>
      </c>
    </row>
    <row r="299" spans="1:5" x14ac:dyDescent="0.35">
      <c r="A299" t="s">
        <v>44</v>
      </c>
      <c r="B299">
        <f>COUNTIFS(A$1:A299,A299)-1</f>
        <v>3</v>
      </c>
      <c r="C299" cm="1">
        <f t="array" aca="1" ref="C299" ca="1">_xlfn.XLOOKUP(B299,INDIRECT(A299&amp;"!A:A"),INDIRECT(A299&amp;"!B:B"),,0,1)</f>
        <v>-140.5</v>
      </c>
      <c r="D299" cm="1">
        <f t="array" aca="1" ref="D299" ca="1">_xlfn.XLOOKUP($B299,INDIRECT($A299&amp;"!A:A"),INDIRECT($A299&amp;"!E:E"),,0,1)</f>
        <v>-19.59</v>
      </c>
      <c r="E299" t="str">
        <f t="shared" ca="1" si="6"/>
        <v xml:space="preserve">              -140.5,-19.59,0</v>
      </c>
    </row>
    <row r="300" spans="1:5" x14ac:dyDescent="0.35">
      <c r="A300" t="s">
        <v>44</v>
      </c>
      <c r="B300">
        <f>COUNTIFS(A$1:A300,A300)-1</f>
        <v>4</v>
      </c>
      <c r="C300" cm="1">
        <f t="array" aca="1" ref="C300" ca="1">_xlfn.XLOOKUP(B300,INDIRECT(A300&amp;"!A:A"),INDIRECT(A300&amp;"!B:B"),,0,1)</f>
        <v>-140.75</v>
      </c>
      <c r="D300" cm="1">
        <f t="array" aca="1" ref="D300" ca="1">_xlfn.XLOOKUP($B300,INDIRECT($A300&amp;"!A:A"),INDIRECT($A300&amp;"!E:E"),,0,1)</f>
        <v>-19.63</v>
      </c>
      <c r="E300" t="str">
        <f t="shared" ca="1" si="6"/>
        <v xml:space="preserve">              -140.75,-19.63,0</v>
      </c>
    </row>
    <row r="301" spans="1:5" x14ac:dyDescent="0.35">
      <c r="A301" t="s">
        <v>44</v>
      </c>
      <c r="B301">
        <f>COUNTIFS(A$1:A301,A301)-1</f>
        <v>5</v>
      </c>
      <c r="C301" cm="1">
        <f t="array" aca="1" ref="C301" ca="1">_xlfn.XLOOKUP(B301,INDIRECT(A301&amp;"!A:A"),INDIRECT(A301&amp;"!B:B"),,0,1)</f>
        <v>-141</v>
      </c>
      <c r="D301" cm="1">
        <f t="array" aca="1" ref="D301" ca="1">_xlfn.XLOOKUP($B301,INDIRECT($A301&amp;"!A:A"),INDIRECT($A301&amp;"!E:E"),,0,1)</f>
        <v>-19.66</v>
      </c>
      <c r="E301" t="str">
        <f t="shared" ca="1" si="6"/>
        <v xml:space="preserve">              -141,-19.66,0</v>
      </c>
    </row>
    <row r="302" spans="1:5" x14ac:dyDescent="0.35">
      <c r="A302" t="s">
        <v>44</v>
      </c>
      <c r="B302">
        <f>COUNTIFS(A$1:A302,A302)-1</f>
        <v>6</v>
      </c>
      <c r="C302" cm="1">
        <f t="array" aca="1" ref="C302" ca="1">_xlfn.XLOOKUP(B302,INDIRECT(A302&amp;"!A:A"),INDIRECT(A302&amp;"!B:B"),,0,1)</f>
        <v>-141.25</v>
      </c>
      <c r="D302" cm="1">
        <f t="array" aca="1" ref="D302" ca="1">_xlfn.XLOOKUP($B302,INDIRECT($A302&amp;"!A:A"),INDIRECT($A302&amp;"!E:E"),,0,1)</f>
        <v>-19.690000000000001</v>
      </c>
      <c r="E302" t="str">
        <f t="shared" ca="1" si="6"/>
        <v xml:space="preserve">              -141.25,-19.69,0</v>
      </c>
    </row>
    <row r="303" spans="1:5" x14ac:dyDescent="0.35">
      <c r="A303" t="s">
        <v>44</v>
      </c>
      <c r="B303">
        <f>COUNTIFS(A$1:A303,A303)-1</f>
        <v>7</v>
      </c>
      <c r="C303" cm="1">
        <f t="array" aca="1" ref="C303" ca="1">_xlfn.XLOOKUP(B303,INDIRECT(A303&amp;"!A:A"),INDIRECT(A303&amp;"!B:B"),,0,1)</f>
        <v>-141.5</v>
      </c>
      <c r="D303" cm="1">
        <f t="array" aca="1" ref="D303" ca="1">_xlfn.XLOOKUP($B303,INDIRECT($A303&amp;"!A:A"),INDIRECT($A303&amp;"!E:E"),,0,1)</f>
        <v>-19.72</v>
      </c>
      <c r="E303" t="str">
        <f t="shared" ca="1" si="6"/>
        <v xml:space="preserve">              -141.5,-19.72,0</v>
      </c>
    </row>
    <row r="304" spans="1:5" x14ac:dyDescent="0.35">
      <c r="A304" t="s">
        <v>44</v>
      </c>
      <c r="B304">
        <f>COUNTIFS(A$1:A304,A304)-1</f>
        <v>8</v>
      </c>
      <c r="C304" cm="1">
        <f t="array" aca="1" ref="C304" ca="1">_xlfn.XLOOKUP(B304,INDIRECT(A304&amp;"!A:A"),INDIRECT(A304&amp;"!B:B"),,0,1)</f>
        <v>-141.75</v>
      </c>
      <c r="D304" cm="1">
        <f t="array" aca="1" ref="D304" ca="1">_xlfn.XLOOKUP($B304,INDIRECT($A304&amp;"!A:A"),INDIRECT($A304&amp;"!E:E"),,0,1)</f>
        <v>-19.75</v>
      </c>
      <c r="E304" t="str">
        <f t="shared" ca="1" si="6"/>
        <v xml:space="preserve">              -141.75,-19.75,0</v>
      </c>
    </row>
    <row r="305" spans="1:5" x14ac:dyDescent="0.35">
      <c r="A305" t="s">
        <v>44</v>
      </c>
      <c r="B305">
        <f>COUNTIFS(A$1:A305,A305)-1</f>
        <v>9</v>
      </c>
      <c r="C305" cm="1">
        <f t="array" aca="1" ref="C305" ca="1">_xlfn.XLOOKUP(B305,INDIRECT(A305&amp;"!A:A"),INDIRECT(A305&amp;"!B:B"),,0,1)</f>
        <v>-142</v>
      </c>
      <c r="D305" cm="1">
        <f t="array" aca="1" ref="D305" ca="1">_xlfn.XLOOKUP($B305,INDIRECT($A305&amp;"!A:A"),INDIRECT($A305&amp;"!E:E"),,0,1)</f>
        <v>-19.78</v>
      </c>
      <c r="E305" t="str">
        <f t="shared" ca="1" si="6"/>
        <v xml:space="preserve">              -142,-19.78,0</v>
      </c>
    </row>
    <row r="306" spans="1:5" x14ac:dyDescent="0.35">
      <c r="A306" t="s">
        <v>44</v>
      </c>
      <c r="B306">
        <f>COUNTIFS(A$1:A306,A306)-1</f>
        <v>10</v>
      </c>
      <c r="C306" cm="1">
        <f t="array" aca="1" ref="C306" ca="1">_xlfn.XLOOKUP(B306,INDIRECT(A306&amp;"!A:A"),INDIRECT(A306&amp;"!B:B"),,0,1)</f>
        <v>-142.25</v>
      </c>
      <c r="D306" cm="1">
        <f t="array" aca="1" ref="D306" ca="1">_xlfn.XLOOKUP($B306,INDIRECT($A306&amp;"!A:A"),INDIRECT($A306&amp;"!E:E"),,0,1)</f>
        <v>-19.8</v>
      </c>
      <c r="E306" t="str">
        <f t="shared" ca="1" si="6"/>
        <v xml:space="preserve">              -142.25,-19.8,0</v>
      </c>
    </row>
    <row r="307" spans="1:5" x14ac:dyDescent="0.35">
      <c r="A307" t="s">
        <v>44</v>
      </c>
      <c r="B307">
        <f>COUNTIFS(A$1:A307,A307)-1</f>
        <v>11</v>
      </c>
      <c r="C307" cm="1">
        <f t="array" aca="1" ref="C307" ca="1">_xlfn.XLOOKUP(B307,INDIRECT(A307&amp;"!A:A"),INDIRECT(A307&amp;"!B:B"),,0,1)</f>
        <v>-142.5</v>
      </c>
      <c r="D307" cm="1">
        <f t="array" aca="1" ref="D307" ca="1">_xlfn.XLOOKUP($B307,INDIRECT($A307&amp;"!A:A"),INDIRECT($A307&amp;"!E:E"),,0,1)</f>
        <v>-19.829999999999998</v>
      </c>
      <c r="E307" t="str">
        <f t="shared" ca="1" si="6"/>
        <v xml:space="preserve">              -142.5,-19.83,0</v>
      </c>
    </row>
    <row r="308" spans="1:5" x14ac:dyDescent="0.35">
      <c r="A308" t="s">
        <v>44</v>
      </c>
      <c r="B308">
        <f>COUNTIFS(A$1:A308,A308)-1</f>
        <v>12</v>
      </c>
      <c r="C308" cm="1">
        <f t="array" aca="1" ref="C308" ca="1">_xlfn.XLOOKUP(B308,INDIRECT(A308&amp;"!A:A"),INDIRECT(A308&amp;"!B:B"),,0,1)</f>
        <v>-142.75</v>
      </c>
      <c r="D308" cm="1">
        <f t="array" aca="1" ref="D308" ca="1">_xlfn.XLOOKUP($B308,INDIRECT($A308&amp;"!A:A"),INDIRECT($A308&amp;"!E:E"),,0,1)</f>
        <v>-19.86</v>
      </c>
      <c r="E308" t="str">
        <f t="shared" ca="1" si="6"/>
        <v xml:space="preserve">              -142.75,-19.86,0</v>
      </c>
    </row>
    <row r="309" spans="1:5" x14ac:dyDescent="0.35">
      <c r="A309" t="s">
        <v>44</v>
      </c>
      <c r="B309">
        <f>COUNTIFS(A$1:A309,A309)-1</f>
        <v>13</v>
      </c>
      <c r="C309" cm="1">
        <f t="array" aca="1" ref="C309" ca="1">_xlfn.XLOOKUP(B309,INDIRECT(A309&amp;"!A:A"),INDIRECT(A309&amp;"!B:B"),,0,1)</f>
        <v>-143</v>
      </c>
      <c r="D309" cm="1">
        <f t="array" aca="1" ref="D309" ca="1">_xlfn.XLOOKUP($B309,INDIRECT($A309&amp;"!A:A"),INDIRECT($A309&amp;"!E:E"),,0,1)</f>
        <v>-19.89</v>
      </c>
      <c r="E309" t="str">
        <f t="shared" ca="1" si="6"/>
        <v xml:space="preserve">              -143,-19.89,0</v>
      </c>
    </row>
    <row r="310" spans="1:5" x14ac:dyDescent="0.35">
      <c r="A310" t="s">
        <v>44</v>
      </c>
      <c r="B310">
        <f>COUNTIFS(A$1:A310,A310)-1</f>
        <v>14</v>
      </c>
      <c r="C310" cm="1">
        <f t="array" aca="1" ref="C310" ca="1">_xlfn.XLOOKUP(B310,INDIRECT(A310&amp;"!A:A"),INDIRECT(A310&amp;"!B:B"),,0,1)</f>
        <v>-143.25</v>
      </c>
      <c r="D310" cm="1">
        <f t="array" aca="1" ref="D310" ca="1">_xlfn.XLOOKUP($B310,INDIRECT($A310&amp;"!A:A"),INDIRECT($A310&amp;"!E:E"),,0,1)</f>
        <v>-19.920000000000002</v>
      </c>
      <c r="E310" t="str">
        <f t="shared" ca="1" si="6"/>
        <v xml:space="preserve">              -143.25,-19.92,0</v>
      </c>
    </row>
    <row r="311" spans="1:5" x14ac:dyDescent="0.35">
      <c r="A311" t="s">
        <v>44</v>
      </c>
      <c r="B311">
        <f>COUNTIFS(A$1:A311,A311)-1</f>
        <v>15</v>
      </c>
      <c r="C311" cm="1">
        <f t="array" aca="1" ref="C311" ca="1">_xlfn.XLOOKUP(B311,INDIRECT(A311&amp;"!A:A"),INDIRECT(A311&amp;"!B:B"),,0,1)</f>
        <v>-143.5</v>
      </c>
      <c r="D311" cm="1">
        <f t="array" aca="1" ref="D311" ca="1">_xlfn.XLOOKUP($B311,INDIRECT($A311&amp;"!A:A"),INDIRECT($A311&amp;"!E:E"),,0,1)</f>
        <v>-19.940000000000001</v>
      </c>
      <c r="E311" t="str">
        <f t="shared" ca="1" si="6"/>
        <v xml:space="preserve">              -143.5,-19.94,0</v>
      </c>
    </row>
    <row r="312" spans="1:5" x14ac:dyDescent="0.35">
      <c r="A312" t="s">
        <v>44</v>
      </c>
      <c r="B312">
        <f>COUNTIFS(A$1:A312,A312)-1</f>
        <v>16</v>
      </c>
      <c r="C312" cm="1">
        <f t="array" aca="1" ref="C312" ca="1">_xlfn.XLOOKUP(B312,INDIRECT(A312&amp;"!A:A"),INDIRECT(A312&amp;"!B:B"),,0,1)</f>
        <v>-143.75</v>
      </c>
      <c r="D312" cm="1">
        <f t="array" aca="1" ref="D312" ca="1">_xlfn.XLOOKUP($B312,INDIRECT($A312&amp;"!A:A"),INDIRECT($A312&amp;"!E:E"),,0,1)</f>
        <v>-19.97</v>
      </c>
      <c r="E312" t="str">
        <f t="shared" ca="1" si="6"/>
        <v xml:space="preserve">              -143.75,-19.97,0</v>
      </c>
    </row>
    <row r="313" spans="1:5" x14ac:dyDescent="0.35">
      <c r="A313" t="s">
        <v>44</v>
      </c>
      <c r="B313">
        <f>COUNTIFS(A$1:A313,A313)-1</f>
        <v>17</v>
      </c>
      <c r="C313" cm="1">
        <f t="array" aca="1" ref="C313" ca="1">_xlfn.XLOOKUP(B313,INDIRECT(A313&amp;"!A:A"),INDIRECT(A313&amp;"!B:B"),,0,1)</f>
        <v>-144</v>
      </c>
      <c r="D313" cm="1">
        <f t="array" aca="1" ref="D313" ca="1">_xlfn.XLOOKUP($B313,INDIRECT($A313&amp;"!A:A"),INDIRECT($A313&amp;"!E:E"),,0,1)</f>
        <v>-20</v>
      </c>
      <c r="E313" t="str">
        <f t="shared" ca="1" si="6"/>
        <v xml:space="preserve">              -144,-20,0</v>
      </c>
    </row>
    <row r="314" spans="1:5" x14ac:dyDescent="0.35">
      <c r="A314" t="s">
        <v>44</v>
      </c>
      <c r="B314">
        <f>COUNTIFS(A$1:A314,A314)-1</f>
        <v>18</v>
      </c>
      <c r="C314" cm="1">
        <f t="array" aca="1" ref="C314" ca="1">_xlfn.XLOOKUP(B314,INDIRECT(A314&amp;"!A:A"),INDIRECT(A314&amp;"!B:B"),,0,1)</f>
        <v>-144.25</v>
      </c>
      <c r="D314" cm="1">
        <f t="array" aca="1" ref="D314" ca="1">_xlfn.XLOOKUP($B314,INDIRECT($A314&amp;"!A:A"),INDIRECT($A314&amp;"!E:E"),,0,1)</f>
        <v>-20.02</v>
      </c>
      <c r="E314" t="str">
        <f t="shared" ca="1" si="6"/>
        <v xml:space="preserve">              -144.25,-20.02,0</v>
      </c>
    </row>
    <row r="315" spans="1:5" x14ac:dyDescent="0.35">
      <c r="A315" t="s">
        <v>44</v>
      </c>
      <c r="B315">
        <f>COUNTIFS(A$1:A315,A315)-1</f>
        <v>19</v>
      </c>
      <c r="C315" cm="1">
        <f t="array" aca="1" ref="C315" ca="1">_xlfn.XLOOKUP(B315,INDIRECT(A315&amp;"!A:A"),INDIRECT(A315&amp;"!B:B"),,0,1)</f>
        <v>-144.5</v>
      </c>
      <c r="D315" cm="1">
        <f t="array" aca="1" ref="D315" ca="1">_xlfn.XLOOKUP($B315,INDIRECT($A315&amp;"!A:A"),INDIRECT($A315&amp;"!E:E"),,0,1)</f>
        <v>-20.05</v>
      </c>
      <c r="E315" t="str">
        <f t="shared" ca="1" si="6"/>
        <v xml:space="preserve">              -144.5,-20.05,0</v>
      </c>
    </row>
    <row r="316" spans="1:5" x14ac:dyDescent="0.35">
      <c r="A316" t="s">
        <v>44</v>
      </c>
      <c r="B316">
        <f>COUNTIFS(A$1:A316,A316)-1</f>
        <v>20</v>
      </c>
      <c r="C316" cm="1">
        <f t="array" aca="1" ref="C316" ca="1">_xlfn.XLOOKUP(B316,INDIRECT(A316&amp;"!A:A"),INDIRECT(A316&amp;"!B:B"),,0,1)</f>
        <v>-144.75</v>
      </c>
      <c r="D316" cm="1">
        <f t="array" aca="1" ref="D316" ca="1">_xlfn.XLOOKUP($B316,INDIRECT($A316&amp;"!A:A"),INDIRECT($A316&amp;"!E:E"),,0,1)</f>
        <v>-20.07</v>
      </c>
      <c r="E316" t="str">
        <f t="shared" ca="1" si="6"/>
        <v xml:space="preserve">              -144.75,-20.07,0</v>
      </c>
    </row>
    <row r="317" spans="1:5" x14ac:dyDescent="0.35">
      <c r="A317" t="s">
        <v>44</v>
      </c>
      <c r="B317">
        <f>COUNTIFS(A$1:A317,A317)-1</f>
        <v>21</v>
      </c>
      <c r="C317" cm="1">
        <f t="array" aca="1" ref="C317" ca="1">_xlfn.XLOOKUP(B317,INDIRECT(A317&amp;"!A:A"),INDIRECT(A317&amp;"!B:B"),,0,1)</f>
        <v>-145</v>
      </c>
      <c r="D317" cm="1">
        <f t="array" aca="1" ref="D317" ca="1">_xlfn.XLOOKUP($B317,INDIRECT($A317&amp;"!A:A"),INDIRECT($A317&amp;"!E:E"),,0,1)</f>
        <v>-20.100000000000001</v>
      </c>
      <c r="E317" t="str">
        <f t="shared" ca="1" si="6"/>
        <v xml:space="preserve">              -145,-20.1,0</v>
      </c>
    </row>
    <row r="318" spans="1:5" x14ac:dyDescent="0.35">
      <c r="A318" t="s">
        <v>44</v>
      </c>
      <c r="B318">
        <f>COUNTIFS(A$1:A318,A318)-1</f>
        <v>22</v>
      </c>
      <c r="C318" cm="1">
        <f t="array" aca="1" ref="C318" ca="1">_xlfn.XLOOKUP(B318,INDIRECT(A318&amp;"!A:A"),INDIRECT(A318&amp;"!B:B"),,0,1)</f>
        <v>-145.25</v>
      </c>
      <c r="D318" cm="1">
        <f t="array" aca="1" ref="D318" ca="1">_xlfn.XLOOKUP($B318,INDIRECT($A318&amp;"!A:A"),INDIRECT($A318&amp;"!E:E"),,0,1)</f>
        <v>-20.12</v>
      </c>
      <c r="E318" t="str">
        <f t="shared" ca="1" si="6"/>
        <v xml:space="preserve">              -145.25,-20.12,0</v>
      </c>
    </row>
    <row r="319" spans="1:5" x14ac:dyDescent="0.35">
      <c r="A319" t="s">
        <v>44</v>
      </c>
      <c r="B319">
        <f>COUNTIFS(A$1:A319,A319)-1</f>
        <v>23</v>
      </c>
      <c r="C319" cm="1">
        <f t="array" aca="1" ref="C319" ca="1">_xlfn.XLOOKUP(B319,INDIRECT(A319&amp;"!A:A"),INDIRECT(A319&amp;"!B:B"),,0,1)</f>
        <v>-145.5</v>
      </c>
      <c r="D319" cm="1">
        <f t="array" aca="1" ref="D319" ca="1">_xlfn.XLOOKUP($B319,INDIRECT($A319&amp;"!A:A"),INDIRECT($A319&amp;"!E:E"),,0,1)</f>
        <v>-20.149999999999999</v>
      </c>
      <c r="E319" t="str">
        <f t="shared" ca="1" si="6"/>
        <v xml:space="preserve">              -145.5,-20.15,0</v>
      </c>
    </row>
    <row r="320" spans="1:5" x14ac:dyDescent="0.35">
      <c r="A320" t="s">
        <v>44</v>
      </c>
      <c r="B320">
        <f>COUNTIFS(A$1:A320,A320)-1</f>
        <v>24</v>
      </c>
      <c r="C320" cm="1">
        <f t="array" aca="1" ref="C320" ca="1">_xlfn.XLOOKUP(B320,INDIRECT(A320&amp;"!A:A"),INDIRECT(A320&amp;"!B:B"),,0,1)</f>
        <v>-145.75</v>
      </c>
      <c r="D320" cm="1">
        <f t="array" aca="1" ref="D320" ca="1">_xlfn.XLOOKUP($B320,INDIRECT($A320&amp;"!A:A"),INDIRECT($A320&amp;"!E:E"),,0,1)</f>
        <v>-20.170000000000002</v>
      </c>
      <c r="E320" t="str">
        <f t="shared" ca="1" si="6"/>
        <v xml:space="preserve">              -145.75,-20.17,0</v>
      </c>
    </row>
    <row r="321" spans="1:5" x14ac:dyDescent="0.35">
      <c r="A321" t="s">
        <v>44</v>
      </c>
      <c r="B321">
        <f>COUNTIFS(A$1:A321,A321)-1</f>
        <v>25</v>
      </c>
      <c r="C321" cm="1">
        <f t="array" aca="1" ref="C321" ca="1">_xlfn.XLOOKUP(B321,INDIRECT(A321&amp;"!A:A"),INDIRECT(A321&amp;"!B:B"),,0,1)</f>
        <v>-146</v>
      </c>
      <c r="D321" cm="1">
        <f t="array" aca="1" ref="D321" ca="1">_xlfn.XLOOKUP($B321,INDIRECT($A321&amp;"!A:A"),INDIRECT($A321&amp;"!E:E"),,0,1)</f>
        <v>-20.190000000000001</v>
      </c>
      <c r="E321" t="str">
        <f t="shared" ca="1" si="6"/>
        <v xml:space="preserve">              -146,-20.19,0</v>
      </c>
    </row>
    <row r="322" spans="1:5" x14ac:dyDescent="0.35">
      <c r="A322" t="s">
        <v>44</v>
      </c>
      <c r="B322">
        <f>COUNTIFS(A$1:A322,A322)-1</f>
        <v>26</v>
      </c>
      <c r="C322" cm="1">
        <f t="array" aca="1" ref="C322" ca="1">_xlfn.XLOOKUP(B322,INDIRECT(A322&amp;"!A:A"),INDIRECT(A322&amp;"!B:B"),,0,1)</f>
        <v>-146.25</v>
      </c>
      <c r="D322" cm="1">
        <f t="array" aca="1" ref="D322" ca="1">_xlfn.XLOOKUP($B322,INDIRECT($A322&amp;"!A:A"),INDIRECT($A322&amp;"!E:E"),,0,1)</f>
        <v>-20.22</v>
      </c>
      <c r="E322" t="str">
        <f t="shared" ca="1" si="6"/>
        <v xml:space="preserve">              -146.25,-20.22,0</v>
      </c>
    </row>
    <row r="323" spans="1:5" x14ac:dyDescent="0.35">
      <c r="A323" t="s">
        <v>44</v>
      </c>
      <c r="B323">
        <f>COUNTIFS(A$1:A323,A323)-1</f>
        <v>27</v>
      </c>
      <c r="C323" cm="1">
        <f t="array" aca="1" ref="C323" ca="1">_xlfn.XLOOKUP(B323,INDIRECT(A323&amp;"!A:A"),INDIRECT(A323&amp;"!B:B"),,0,1)</f>
        <v>-146.5</v>
      </c>
      <c r="D323" cm="1">
        <f t="array" aca="1" ref="D323" ca="1">_xlfn.XLOOKUP($B323,INDIRECT($A323&amp;"!A:A"),INDIRECT($A323&amp;"!E:E"),,0,1)</f>
        <v>-20.239999999999998</v>
      </c>
      <c r="E323" t="str">
        <f t="shared" ca="1" si="6"/>
        <v xml:space="preserve">              -146.5,-20.24,0</v>
      </c>
    </row>
    <row r="324" spans="1:5" x14ac:dyDescent="0.35">
      <c r="A324" t="s">
        <v>44</v>
      </c>
      <c r="B324">
        <f>COUNTIFS(A$1:A324,A324)-1</f>
        <v>28</v>
      </c>
      <c r="C324" cm="1">
        <f t="array" aca="1" ref="C324" ca="1">_xlfn.XLOOKUP(B324,INDIRECT(A324&amp;"!A:A"),INDIRECT(A324&amp;"!B:B"),,0,1)</f>
        <v>-146.75</v>
      </c>
      <c r="D324" cm="1">
        <f t="array" aca="1" ref="D324" ca="1">_xlfn.XLOOKUP($B324,INDIRECT($A324&amp;"!A:A"),INDIRECT($A324&amp;"!E:E"),,0,1)</f>
        <v>-20.260000000000002</v>
      </c>
      <c r="E324" t="str">
        <f t="shared" ca="1" si="6"/>
        <v xml:space="preserve">              -146.75,-20.26,0</v>
      </c>
    </row>
    <row r="325" spans="1:5" x14ac:dyDescent="0.35">
      <c r="A325" t="s">
        <v>44</v>
      </c>
      <c r="B325">
        <f>COUNTIFS(A$1:A325,A325)-1</f>
        <v>29</v>
      </c>
      <c r="C325" cm="1">
        <f t="array" aca="1" ref="C325" ca="1">_xlfn.XLOOKUP(B325,INDIRECT(A325&amp;"!A:A"),INDIRECT(A325&amp;"!B:B"),,0,1)</f>
        <v>-147</v>
      </c>
      <c r="D325" cm="1">
        <f t="array" aca="1" ref="D325" ca="1">_xlfn.XLOOKUP($B325,INDIRECT($A325&amp;"!A:A"),INDIRECT($A325&amp;"!E:E"),,0,1)</f>
        <v>-20.28</v>
      </c>
      <c r="E325" t="str">
        <f t="shared" ca="1" si="6"/>
        <v xml:space="preserve">              -147,-20.28,0</v>
      </c>
    </row>
    <row r="326" spans="1:5" x14ac:dyDescent="0.35">
      <c r="A326" t="s">
        <v>44</v>
      </c>
      <c r="B326">
        <f>COUNTIFS(A$1:A326,A326)-1</f>
        <v>30</v>
      </c>
      <c r="C326" cm="1">
        <f t="array" aca="1" ref="C326" ca="1">_xlfn.XLOOKUP(B326,INDIRECT(A326&amp;"!A:A"),INDIRECT(A326&amp;"!B:B"),,0,1)</f>
        <v>-147.25</v>
      </c>
      <c r="D326" cm="1">
        <f t="array" aca="1" ref="D326" ca="1">_xlfn.XLOOKUP($B326,INDIRECT($A326&amp;"!A:A"),INDIRECT($A326&amp;"!E:E"),,0,1)</f>
        <v>-20.3</v>
      </c>
      <c r="E326" t="str">
        <f t="shared" ca="1" si="6"/>
        <v xml:space="preserve">              -147.25,-20.3,0</v>
      </c>
    </row>
    <row r="327" spans="1:5" x14ac:dyDescent="0.35">
      <c r="A327" t="s">
        <v>44</v>
      </c>
      <c r="B327">
        <f>COUNTIFS(A$1:A327,A327)-1</f>
        <v>31</v>
      </c>
      <c r="C327" cm="1">
        <f t="array" aca="1" ref="C327" ca="1">_xlfn.XLOOKUP(B327,INDIRECT(A327&amp;"!A:A"),INDIRECT(A327&amp;"!B:B"),,0,1)</f>
        <v>-147.5</v>
      </c>
      <c r="D327" cm="1">
        <f t="array" aca="1" ref="D327" ca="1">_xlfn.XLOOKUP($B327,INDIRECT($A327&amp;"!A:A"),INDIRECT($A327&amp;"!E:E"),,0,1)</f>
        <v>-20.329999999999998</v>
      </c>
      <c r="E327" t="str">
        <f t="shared" ca="1" si="6"/>
        <v xml:space="preserve">              -147.5,-20.33,0</v>
      </c>
    </row>
    <row r="328" spans="1:5" x14ac:dyDescent="0.35">
      <c r="A328" t="s">
        <v>44</v>
      </c>
      <c r="B328">
        <f>COUNTIFS(A$1:A328,A328)-1</f>
        <v>32</v>
      </c>
      <c r="C328" cm="1">
        <f t="array" aca="1" ref="C328" ca="1">_xlfn.XLOOKUP(B328,INDIRECT(A328&amp;"!A:A"),INDIRECT(A328&amp;"!B:B"),,0,1)</f>
        <v>-147.75</v>
      </c>
      <c r="D328" cm="1">
        <f t="array" aca="1" ref="D328" ca="1">_xlfn.XLOOKUP($B328,INDIRECT($A328&amp;"!A:A"),INDIRECT($A328&amp;"!E:E"),,0,1)</f>
        <v>-20.350000000000001</v>
      </c>
      <c r="E328" t="str">
        <f t="shared" ca="1" si="6"/>
        <v xml:space="preserve">              -147.75,-20.35,0</v>
      </c>
    </row>
    <row r="329" spans="1:5" x14ac:dyDescent="0.35">
      <c r="A329" t="s">
        <v>44</v>
      </c>
      <c r="B329">
        <f>COUNTIFS(A$1:A329,A329)-1</f>
        <v>33</v>
      </c>
      <c r="C329" cm="1">
        <f t="array" aca="1" ref="C329" ca="1">_xlfn.XLOOKUP(B329,INDIRECT(A329&amp;"!A:A"),INDIRECT(A329&amp;"!B:B"),,0,1)</f>
        <v>-148</v>
      </c>
      <c r="D329" cm="1">
        <f t="array" aca="1" ref="D329" ca="1">_xlfn.XLOOKUP($B329,INDIRECT($A329&amp;"!A:A"),INDIRECT($A329&amp;"!E:E"),,0,1)</f>
        <v>-20.37</v>
      </c>
      <c r="E329" t="str">
        <f t="shared" ca="1" si="6"/>
        <v xml:space="preserve">              -148,-20.37,0</v>
      </c>
    </row>
    <row r="330" spans="1:5" x14ac:dyDescent="0.35">
      <c r="A330" t="s">
        <v>44</v>
      </c>
      <c r="B330">
        <f>COUNTIFS(A$1:A330,A330)-1</f>
        <v>34</v>
      </c>
      <c r="C330" cm="1">
        <f t="array" aca="1" ref="C330" ca="1">_xlfn.XLOOKUP(B330,INDIRECT(A330&amp;"!A:A"),INDIRECT(A330&amp;"!B:B"),,0,1)</f>
        <v>-148.25</v>
      </c>
      <c r="D330" cm="1">
        <f t="array" aca="1" ref="D330" ca="1">_xlfn.XLOOKUP($B330,INDIRECT($A330&amp;"!A:A"),INDIRECT($A330&amp;"!E:E"),,0,1)</f>
        <v>-20.39</v>
      </c>
      <c r="E330" t="str">
        <f t="shared" ca="1" si="6"/>
        <v xml:space="preserve">              -148.25,-20.39,0</v>
      </c>
    </row>
    <row r="331" spans="1:5" x14ac:dyDescent="0.35">
      <c r="A331" t="s">
        <v>44</v>
      </c>
      <c r="B331">
        <f>COUNTIFS(A$1:A331,A331)-1</f>
        <v>35</v>
      </c>
      <c r="C331" cm="1">
        <f t="array" aca="1" ref="C331" ca="1">_xlfn.XLOOKUP(B331,INDIRECT(A331&amp;"!A:A"),INDIRECT(A331&amp;"!B:B"),,0,1)</f>
        <v>-148.5</v>
      </c>
      <c r="D331" cm="1">
        <f t="array" aca="1" ref="D331" ca="1">_xlfn.XLOOKUP($B331,INDIRECT($A331&amp;"!A:A"),INDIRECT($A331&amp;"!E:E"),,0,1)</f>
        <v>-20.41</v>
      </c>
      <c r="E331" t="str">
        <f t="shared" ca="1" si="6"/>
        <v xml:space="preserve">              -148.5,-20.41,0</v>
      </c>
    </row>
    <row r="332" spans="1:5" x14ac:dyDescent="0.35">
      <c r="A332" t="s">
        <v>44</v>
      </c>
      <c r="B332">
        <f>COUNTIFS(A$1:A332,A332)-1</f>
        <v>36</v>
      </c>
      <c r="C332" cm="1">
        <f t="array" aca="1" ref="C332" ca="1">_xlfn.XLOOKUP(B332,INDIRECT(A332&amp;"!A:A"),INDIRECT(A332&amp;"!B:B"),,0,1)</f>
        <v>-148.75</v>
      </c>
      <c r="D332" cm="1">
        <f t="array" aca="1" ref="D332" ca="1">_xlfn.XLOOKUP($B332,INDIRECT($A332&amp;"!A:A"),INDIRECT($A332&amp;"!E:E"),,0,1)</f>
        <v>-20.43</v>
      </c>
      <c r="E332" t="str">
        <f t="shared" ca="1" si="6"/>
        <v xml:space="preserve">              -148.75,-20.43,0</v>
      </c>
    </row>
    <row r="333" spans="1:5" x14ac:dyDescent="0.35">
      <c r="A333" t="s">
        <v>44</v>
      </c>
      <c r="B333">
        <f>COUNTIFS(A$1:A333,A333)-1</f>
        <v>37</v>
      </c>
      <c r="C333" cm="1">
        <f t="array" aca="1" ref="C333" ca="1">_xlfn.XLOOKUP(B333,INDIRECT(A333&amp;"!A:A"),INDIRECT(A333&amp;"!B:B"),,0,1)</f>
        <v>-149</v>
      </c>
      <c r="D333" cm="1">
        <f t="array" aca="1" ref="D333" ca="1">_xlfn.XLOOKUP($B333,INDIRECT($A333&amp;"!A:A"),INDIRECT($A333&amp;"!E:E"),,0,1)</f>
        <v>-20.45</v>
      </c>
      <c r="E333" t="str">
        <f t="shared" ca="1" si="6"/>
        <v xml:space="preserve">              -149,-20.45,0</v>
      </c>
    </row>
    <row r="334" spans="1:5" x14ac:dyDescent="0.35">
      <c r="A334" t="s">
        <v>44</v>
      </c>
      <c r="B334">
        <f>COUNTIFS(A$1:A334,A334)-1</f>
        <v>38</v>
      </c>
      <c r="C334" cm="1">
        <f t="array" aca="1" ref="C334" ca="1">_xlfn.XLOOKUP(B334,INDIRECT(A334&amp;"!A:A"),INDIRECT(A334&amp;"!B:B"),,0,1)</f>
        <v>-149.25</v>
      </c>
      <c r="D334" cm="1">
        <f t="array" aca="1" ref="D334" ca="1">_xlfn.XLOOKUP($B334,INDIRECT($A334&amp;"!A:A"),INDIRECT($A334&amp;"!E:E"),,0,1)</f>
        <v>-20.46</v>
      </c>
      <c r="E334" t="str">
        <f t="shared" ca="1" si="6"/>
        <v xml:space="preserve">              -149.25,-20.46,0</v>
      </c>
    </row>
    <row r="335" spans="1:5" x14ac:dyDescent="0.35">
      <c r="A335" t="s">
        <v>44</v>
      </c>
      <c r="B335">
        <f>COUNTIFS(A$1:A335,A335)-1</f>
        <v>39</v>
      </c>
      <c r="C335" cm="1">
        <f t="array" aca="1" ref="C335" ca="1">_xlfn.XLOOKUP(B335,INDIRECT(A335&amp;"!A:A"),INDIRECT(A335&amp;"!B:B"),,0,1)</f>
        <v>-149.5</v>
      </c>
      <c r="D335" cm="1">
        <f t="array" aca="1" ref="D335" ca="1">_xlfn.XLOOKUP($B335,INDIRECT($A335&amp;"!A:A"),INDIRECT($A335&amp;"!E:E"),,0,1)</f>
        <v>-20.48</v>
      </c>
      <c r="E335" t="str">
        <f t="shared" ca="1" si="6"/>
        <v xml:space="preserve">              -149.5,-20.48,0</v>
      </c>
    </row>
    <row r="336" spans="1:5" x14ac:dyDescent="0.35">
      <c r="A336" t="s">
        <v>44</v>
      </c>
      <c r="B336">
        <f>COUNTIFS(A$1:A336,A336)-1</f>
        <v>40</v>
      </c>
      <c r="C336" cm="1">
        <f t="array" aca="1" ref="C336" ca="1">_xlfn.XLOOKUP(B336,INDIRECT(A336&amp;"!A:A"),INDIRECT(A336&amp;"!B:B"),,0,1)</f>
        <v>-149.75</v>
      </c>
      <c r="D336" cm="1">
        <f t="array" aca="1" ref="D336" ca="1">_xlfn.XLOOKUP($B336,INDIRECT($A336&amp;"!A:A"),INDIRECT($A336&amp;"!E:E"),,0,1)</f>
        <v>-20.5</v>
      </c>
      <c r="E336" t="str">
        <f t="shared" ca="1" si="6"/>
        <v xml:space="preserve">              -149.75,-20.5,0</v>
      </c>
    </row>
    <row r="337" spans="1:5" x14ac:dyDescent="0.35">
      <c r="A337" t="s">
        <v>44</v>
      </c>
      <c r="B337">
        <f>COUNTIFS(A$1:A337,A337)-1</f>
        <v>41</v>
      </c>
      <c r="C337" cm="1">
        <f t="array" aca="1" ref="C337" ca="1">_xlfn.XLOOKUP(B337,INDIRECT(A337&amp;"!A:A"),INDIRECT(A337&amp;"!B:B"),,0,1)</f>
        <v>-150</v>
      </c>
      <c r="D337" cm="1">
        <f t="array" aca="1" ref="D337" ca="1">_xlfn.XLOOKUP($B337,INDIRECT($A337&amp;"!A:A"),INDIRECT($A337&amp;"!E:E"),,0,1)</f>
        <v>-20.52</v>
      </c>
      <c r="E337" t="str">
        <f t="shared" ca="1" si="6"/>
        <v xml:space="preserve">              -150,-20.52,0</v>
      </c>
    </row>
    <row r="338" spans="1:5" x14ac:dyDescent="0.35">
      <c r="A338" t="s">
        <v>44</v>
      </c>
      <c r="B338">
        <f>COUNTIFS(A$1:A338,A338)-1</f>
        <v>42</v>
      </c>
      <c r="C338" cm="1">
        <f t="array" aca="1" ref="C338" ca="1">_xlfn.XLOOKUP(B338,INDIRECT(A338&amp;"!A:A"),INDIRECT(A338&amp;"!B:B"),,0,1)</f>
        <v>-150.25</v>
      </c>
      <c r="D338" cm="1">
        <f t="array" aca="1" ref="D338" ca="1">_xlfn.XLOOKUP($B338,INDIRECT($A338&amp;"!A:A"),INDIRECT($A338&amp;"!E:E"),,0,1)</f>
        <v>-20.54</v>
      </c>
      <c r="E338" t="str">
        <f t="shared" ca="1" si="6"/>
        <v xml:space="preserve">              -150.25,-20.54,0</v>
      </c>
    </row>
    <row r="339" spans="1:5" x14ac:dyDescent="0.35">
      <c r="A339" t="s">
        <v>44</v>
      </c>
      <c r="B339">
        <f>COUNTIFS(A$1:A339,A339)-1</f>
        <v>43</v>
      </c>
      <c r="C339" cm="1">
        <f t="array" aca="1" ref="C339" ca="1">_xlfn.XLOOKUP(B339,INDIRECT(A339&amp;"!A:A"),INDIRECT(A339&amp;"!B:B"),,0,1)</f>
        <v>-150.5</v>
      </c>
      <c r="D339" cm="1">
        <f t="array" aca="1" ref="D339" ca="1">_xlfn.XLOOKUP($B339,INDIRECT($A339&amp;"!A:A"),INDIRECT($A339&amp;"!E:E"),,0,1)</f>
        <v>-20.55</v>
      </c>
      <c r="E339" t="str">
        <f t="shared" ca="1" si="6"/>
        <v xml:space="preserve">              -150.5,-20.55,0</v>
      </c>
    </row>
    <row r="340" spans="1:5" x14ac:dyDescent="0.35">
      <c r="A340" t="s">
        <v>44</v>
      </c>
      <c r="B340">
        <f>COUNTIFS(A$1:A340,A340)-1</f>
        <v>44</v>
      </c>
      <c r="C340" cm="1">
        <f t="array" aca="1" ref="C340" ca="1">_xlfn.XLOOKUP(B340,INDIRECT(A340&amp;"!A:A"),INDIRECT(A340&amp;"!B:B"),,0,1)</f>
        <v>-150.75</v>
      </c>
      <c r="D340" cm="1">
        <f t="array" aca="1" ref="D340" ca="1">_xlfn.XLOOKUP($B340,INDIRECT($A340&amp;"!A:A"),INDIRECT($A340&amp;"!E:E"),,0,1)</f>
        <v>-20.57</v>
      </c>
      <c r="E340" t="str">
        <f t="shared" ca="1" si="6"/>
        <v xml:space="preserve">              -150.75,-20.57,0</v>
      </c>
    </row>
    <row r="341" spans="1:5" x14ac:dyDescent="0.35">
      <c r="A341" t="s">
        <v>44</v>
      </c>
      <c r="B341">
        <f>COUNTIFS(A$1:A341,A341)-1</f>
        <v>45</v>
      </c>
      <c r="C341" cm="1">
        <f t="array" aca="1" ref="C341" ca="1">_xlfn.XLOOKUP(B341,INDIRECT(A341&amp;"!A:A"),INDIRECT(A341&amp;"!B:B"),,0,1)</f>
        <v>-151</v>
      </c>
      <c r="D341" cm="1">
        <f t="array" aca="1" ref="D341" ca="1">_xlfn.XLOOKUP($B341,INDIRECT($A341&amp;"!A:A"),INDIRECT($A341&amp;"!E:E"),,0,1)</f>
        <v>-20.59</v>
      </c>
      <c r="E341" t="str">
        <f t="shared" ca="1" si="6"/>
        <v xml:space="preserve">              -151,-20.59,0</v>
      </c>
    </row>
    <row r="342" spans="1:5" x14ac:dyDescent="0.35">
      <c r="A342" t="s">
        <v>44</v>
      </c>
      <c r="B342">
        <f>COUNTIFS(A$1:A342,A342)-1</f>
        <v>46</v>
      </c>
      <c r="C342" cm="1">
        <f t="array" aca="1" ref="C342" ca="1">_xlfn.XLOOKUP(B342,INDIRECT(A342&amp;"!A:A"),INDIRECT(A342&amp;"!B:B"),,0,1)</f>
        <v>-151.25</v>
      </c>
      <c r="D342" cm="1">
        <f t="array" aca="1" ref="D342" ca="1">_xlfn.XLOOKUP($B342,INDIRECT($A342&amp;"!A:A"),INDIRECT($A342&amp;"!E:E"),,0,1)</f>
        <v>-20.6</v>
      </c>
      <c r="E342" t="str">
        <f t="shared" ca="1" si="6"/>
        <v xml:space="preserve">              -151.25,-20.6,0</v>
      </c>
    </row>
    <row r="343" spans="1:5" x14ac:dyDescent="0.35">
      <c r="A343" t="s">
        <v>44</v>
      </c>
      <c r="B343">
        <f>COUNTIFS(A$1:A343,A343)-1</f>
        <v>47</v>
      </c>
      <c r="C343" cm="1">
        <f t="array" aca="1" ref="C343" ca="1">_xlfn.XLOOKUP(B343,INDIRECT(A343&amp;"!A:A"),INDIRECT(A343&amp;"!B:B"),,0,1)</f>
        <v>-151.5</v>
      </c>
      <c r="D343" cm="1">
        <f t="array" aca="1" ref="D343" ca="1">_xlfn.XLOOKUP($B343,INDIRECT($A343&amp;"!A:A"),INDIRECT($A343&amp;"!E:E"),,0,1)</f>
        <v>-20.62</v>
      </c>
      <c r="E343" t="str">
        <f t="shared" ca="1" si="6"/>
        <v xml:space="preserve">              -151.5,-20.62,0</v>
      </c>
    </row>
    <row r="344" spans="1:5" x14ac:dyDescent="0.35">
      <c r="A344" t="s">
        <v>44</v>
      </c>
      <c r="B344">
        <f>COUNTIFS(A$1:A344,A344)-1</f>
        <v>48</v>
      </c>
      <c r="C344" cm="1">
        <f t="array" aca="1" ref="C344" ca="1">_xlfn.XLOOKUP(B344,INDIRECT(A344&amp;"!A:A"),INDIRECT(A344&amp;"!B:B"),,0,1)</f>
        <v>-151.75</v>
      </c>
      <c r="D344" cm="1">
        <f t="array" aca="1" ref="D344" ca="1">_xlfn.XLOOKUP($B344,INDIRECT($A344&amp;"!A:A"),INDIRECT($A344&amp;"!E:E"),,0,1)</f>
        <v>-20.63</v>
      </c>
      <c r="E344" t="str">
        <f t="shared" ca="1" si="6"/>
        <v xml:space="preserve">              -151.75,-20.63,0</v>
      </c>
    </row>
    <row r="345" spans="1:5" x14ac:dyDescent="0.35">
      <c r="A345" t="s">
        <v>44</v>
      </c>
      <c r="B345">
        <f>COUNTIFS(A$1:A345,A345)-1</f>
        <v>49</v>
      </c>
      <c r="C345" cm="1">
        <f t="array" aca="1" ref="C345" ca="1">_xlfn.XLOOKUP(B345,INDIRECT(A345&amp;"!A:A"),INDIRECT(A345&amp;"!B:B"),,0,1)</f>
        <v>-152</v>
      </c>
      <c r="D345" cm="1">
        <f t="array" aca="1" ref="D345" ca="1">_xlfn.XLOOKUP($B345,INDIRECT($A345&amp;"!A:A"),INDIRECT($A345&amp;"!E:E"),,0,1)</f>
        <v>-20.65</v>
      </c>
      <c r="E345" t="str">
        <f t="shared" ca="1" si="6"/>
        <v xml:space="preserve">              -152,-20.65,0</v>
      </c>
    </row>
    <row r="346" spans="1:5" x14ac:dyDescent="0.35">
      <c r="A346" t="s">
        <v>44</v>
      </c>
      <c r="B346">
        <f>COUNTIFS(A$1:A346,A346)-1</f>
        <v>50</v>
      </c>
      <c r="C346" cm="1">
        <f t="array" aca="1" ref="C346" ca="1">_xlfn.XLOOKUP(B346,INDIRECT(A346&amp;"!A:A"),INDIRECT(A346&amp;"!B:B"),,0,1)</f>
        <v>-152.25</v>
      </c>
      <c r="D346" cm="1">
        <f t="array" aca="1" ref="D346" ca="1">_xlfn.XLOOKUP($B346,INDIRECT($A346&amp;"!A:A"),INDIRECT($A346&amp;"!E:E"),,0,1)</f>
        <v>-20.66</v>
      </c>
      <c r="E346" t="str">
        <f t="shared" ca="1" si="6"/>
        <v xml:space="preserve">              -152.25,-20.66,0</v>
      </c>
    </row>
    <row r="347" spans="1:5" x14ac:dyDescent="0.35">
      <c r="A347" t="s">
        <v>44</v>
      </c>
      <c r="B347">
        <f>COUNTIFS(A$1:A347,A347)-1</f>
        <v>51</v>
      </c>
      <c r="C347" cm="1">
        <f t="array" aca="1" ref="C347" ca="1">_xlfn.XLOOKUP(B347,INDIRECT(A347&amp;"!A:A"),INDIRECT(A347&amp;"!B:B"),,0,1)</f>
        <v>-152.5</v>
      </c>
      <c r="D347" cm="1">
        <f t="array" aca="1" ref="D347" ca="1">_xlfn.XLOOKUP($B347,INDIRECT($A347&amp;"!A:A"),INDIRECT($A347&amp;"!E:E"),,0,1)</f>
        <v>-20.67</v>
      </c>
      <c r="E347" t="str">
        <f t="shared" ca="1" si="6"/>
        <v xml:space="preserve">              -152.5,-20.67,0</v>
      </c>
    </row>
    <row r="348" spans="1:5" x14ac:dyDescent="0.35">
      <c r="A348" t="s">
        <v>44</v>
      </c>
      <c r="B348">
        <f>COUNTIFS(A$1:A348,A348)-1</f>
        <v>52</v>
      </c>
      <c r="C348" cm="1">
        <f t="array" aca="1" ref="C348" ca="1">_xlfn.XLOOKUP(B348,INDIRECT(A348&amp;"!A:A"),INDIRECT(A348&amp;"!B:B"),,0,1)</f>
        <v>-152.75</v>
      </c>
      <c r="D348" cm="1">
        <f t="array" aca="1" ref="D348" ca="1">_xlfn.XLOOKUP($B348,INDIRECT($A348&amp;"!A:A"),INDIRECT($A348&amp;"!E:E"),,0,1)</f>
        <v>-20.69</v>
      </c>
      <c r="E348" t="str">
        <f t="shared" ca="1" si="6"/>
        <v xml:space="preserve">              -152.75,-20.69,0</v>
      </c>
    </row>
    <row r="349" spans="1:5" x14ac:dyDescent="0.35">
      <c r="A349" t="s">
        <v>44</v>
      </c>
      <c r="B349">
        <f>COUNTIFS(A$1:A349,A349)-1</f>
        <v>53</v>
      </c>
      <c r="C349" cm="1">
        <f t="array" aca="1" ref="C349" ca="1">_xlfn.XLOOKUP(B349,INDIRECT(A349&amp;"!A:A"),INDIRECT(A349&amp;"!B:B"),,0,1)</f>
        <v>-153</v>
      </c>
      <c r="D349" cm="1">
        <f t="array" aca="1" ref="D349" ca="1">_xlfn.XLOOKUP($B349,INDIRECT($A349&amp;"!A:A"),INDIRECT($A349&amp;"!E:E"),,0,1)</f>
        <v>-20.7</v>
      </c>
      <c r="E349" t="str">
        <f t="shared" ca="1" si="6"/>
        <v xml:space="preserve">              -153,-20.7,0</v>
      </c>
    </row>
    <row r="350" spans="1:5" x14ac:dyDescent="0.35">
      <c r="A350" t="s">
        <v>44</v>
      </c>
      <c r="B350">
        <f>COUNTIFS(A$1:A350,A350)-1</f>
        <v>54</v>
      </c>
      <c r="C350" cm="1">
        <f t="array" aca="1" ref="C350" ca="1">_xlfn.XLOOKUP(B350,INDIRECT(A350&amp;"!A:A"),INDIRECT(A350&amp;"!B:B"),,0,1)</f>
        <v>-153.25</v>
      </c>
      <c r="D350" cm="1">
        <f t="array" aca="1" ref="D350" ca="1">_xlfn.XLOOKUP($B350,INDIRECT($A350&amp;"!A:A"),INDIRECT($A350&amp;"!E:E"),,0,1)</f>
        <v>-20.71</v>
      </c>
      <c r="E350" t="str">
        <f t="shared" ca="1" si="6"/>
        <v xml:space="preserve">              -153.25,-20.71,0</v>
      </c>
    </row>
    <row r="351" spans="1:5" x14ac:dyDescent="0.35">
      <c r="A351" t="s">
        <v>44</v>
      </c>
      <c r="B351">
        <f>COUNTIFS(A$1:A351,A351)-1</f>
        <v>55</v>
      </c>
      <c r="C351" cm="1">
        <f t="array" aca="1" ref="C351" ca="1">_xlfn.XLOOKUP(B351,INDIRECT(A351&amp;"!A:A"),INDIRECT(A351&amp;"!B:B"),,0,1)</f>
        <v>-153.5</v>
      </c>
      <c r="D351" cm="1">
        <f t="array" aca="1" ref="D351" ca="1">_xlfn.XLOOKUP($B351,INDIRECT($A351&amp;"!A:A"),INDIRECT($A351&amp;"!E:E"),,0,1)</f>
        <v>-20.73</v>
      </c>
      <c r="E351" t="str">
        <f t="shared" ca="1" si="6"/>
        <v xml:space="preserve">              -153.5,-20.73,0</v>
      </c>
    </row>
    <row r="352" spans="1:5" x14ac:dyDescent="0.35">
      <c r="A352" t="s">
        <v>44</v>
      </c>
      <c r="B352">
        <f>COUNTIFS(A$1:A352,A352)-1</f>
        <v>56</v>
      </c>
      <c r="C352" cm="1">
        <f t="array" aca="1" ref="C352" ca="1">_xlfn.XLOOKUP(B352,INDIRECT(A352&amp;"!A:A"),INDIRECT(A352&amp;"!B:B"),,0,1)</f>
        <v>-153.75</v>
      </c>
      <c r="D352" cm="1">
        <f t="array" aca="1" ref="D352" ca="1">_xlfn.XLOOKUP($B352,INDIRECT($A352&amp;"!A:A"),INDIRECT($A352&amp;"!E:E"),,0,1)</f>
        <v>-20.74</v>
      </c>
      <c r="E352" t="str">
        <f t="shared" ca="1" si="6"/>
        <v xml:space="preserve">              -153.75,-20.74,0</v>
      </c>
    </row>
    <row r="353" spans="1:5" x14ac:dyDescent="0.35">
      <c r="A353" t="s">
        <v>44</v>
      </c>
      <c r="B353">
        <f>COUNTIFS(A$1:A353,A353)-1</f>
        <v>57</v>
      </c>
      <c r="C353" cm="1">
        <f t="array" aca="1" ref="C353" ca="1">_xlfn.XLOOKUP(B353,INDIRECT(A353&amp;"!A:A"),INDIRECT(A353&amp;"!B:B"),,0,1)</f>
        <v>-154</v>
      </c>
      <c r="D353" cm="1">
        <f t="array" aca="1" ref="D353" ca="1">_xlfn.XLOOKUP($B353,INDIRECT($A353&amp;"!A:A"),INDIRECT($A353&amp;"!E:E"),,0,1)</f>
        <v>-20.75</v>
      </c>
      <c r="E353" t="str">
        <f t="shared" ca="1" si="6"/>
        <v xml:space="preserve">              -154,-20.75,0</v>
      </c>
    </row>
    <row r="354" spans="1:5" x14ac:dyDescent="0.35">
      <c r="A354" t="s">
        <v>44</v>
      </c>
      <c r="B354">
        <f>COUNTIFS(A$1:A354,A354)-1</f>
        <v>58</v>
      </c>
      <c r="C354" cm="1">
        <f t="array" aca="1" ref="C354" ca="1">_xlfn.XLOOKUP(B354,INDIRECT(A354&amp;"!A:A"),INDIRECT(A354&amp;"!B:B"),,0,1)</f>
        <v>-154.25</v>
      </c>
      <c r="D354" cm="1">
        <f t="array" aca="1" ref="D354" ca="1">_xlfn.XLOOKUP($B354,INDIRECT($A354&amp;"!A:A"),INDIRECT($A354&amp;"!E:E"),,0,1)</f>
        <v>-20.76</v>
      </c>
      <c r="E354" t="str">
        <f t="shared" ca="1" si="6"/>
        <v xml:space="preserve">              -154.25,-20.76,0</v>
      </c>
    </row>
    <row r="355" spans="1:5" x14ac:dyDescent="0.35">
      <c r="A355" t="s">
        <v>44</v>
      </c>
      <c r="B355">
        <f>COUNTIFS(A$1:A355,A355)-1</f>
        <v>59</v>
      </c>
      <c r="C355" cm="1">
        <f t="array" aca="1" ref="C355" ca="1">_xlfn.XLOOKUP(B355,INDIRECT(A355&amp;"!A:A"),INDIRECT(A355&amp;"!B:B"),,0,1)</f>
        <v>-154.5</v>
      </c>
      <c r="D355" cm="1">
        <f t="array" aca="1" ref="D355" ca="1">_xlfn.XLOOKUP($B355,INDIRECT($A355&amp;"!A:A"),INDIRECT($A355&amp;"!E:E"),,0,1)</f>
        <v>-20.77</v>
      </c>
      <c r="E355" t="str">
        <f t="shared" ca="1" si="6"/>
        <v xml:space="preserve">              -154.5,-20.77,0</v>
      </c>
    </row>
    <row r="356" spans="1:5" x14ac:dyDescent="0.35">
      <c r="A356" t="s">
        <v>44</v>
      </c>
      <c r="B356">
        <f>COUNTIFS(A$1:A356,A356)-1</f>
        <v>60</v>
      </c>
      <c r="C356" cm="1">
        <f t="array" aca="1" ref="C356" ca="1">_xlfn.XLOOKUP(B356,INDIRECT(A356&amp;"!A:A"),INDIRECT(A356&amp;"!B:B"),,0,1)</f>
        <v>-154.75</v>
      </c>
      <c r="D356" cm="1">
        <f t="array" aca="1" ref="D356" ca="1">_xlfn.XLOOKUP($B356,INDIRECT($A356&amp;"!A:A"),INDIRECT($A356&amp;"!E:E"),,0,1)</f>
        <v>-20.78</v>
      </c>
      <c r="E356" t="str">
        <f t="shared" ca="1" si="6"/>
        <v xml:space="preserve">              -154.75,-20.78,0</v>
      </c>
    </row>
    <row r="357" spans="1:5" x14ac:dyDescent="0.35">
      <c r="A357" t="s">
        <v>44</v>
      </c>
      <c r="B357">
        <f>COUNTIFS(A$1:A357,A357)-1</f>
        <v>61</v>
      </c>
      <c r="C357" cm="1">
        <f t="array" aca="1" ref="C357" ca="1">_xlfn.XLOOKUP(B357,INDIRECT(A357&amp;"!A:A"),INDIRECT(A357&amp;"!B:B"),,0,1)</f>
        <v>-155</v>
      </c>
      <c r="D357" cm="1">
        <f t="array" aca="1" ref="D357" ca="1">_xlfn.XLOOKUP($B357,INDIRECT($A357&amp;"!A:A"),INDIRECT($A357&amp;"!E:E"),,0,1)</f>
        <v>-20.79</v>
      </c>
      <c r="E357" t="str">
        <f t="shared" ca="1" si="6"/>
        <v xml:space="preserve">              -155,-20.79,0</v>
      </c>
    </row>
    <row r="358" spans="1:5" x14ac:dyDescent="0.35">
      <c r="A358" t="s">
        <v>44</v>
      </c>
      <c r="B358">
        <f>COUNTIFS(A$1:A358,A358)-1</f>
        <v>62</v>
      </c>
      <c r="C358" cm="1">
        <f t="array" aca="1" ref="C358" ca="1">_xlfn.XLOOKUP(B358,INDIRECT(A358&amp;"!A:A"),INDIRECT(A358&amp;"!B:B"),,0,1)</f>
        <v>-155.25</v>
      </c>
      <c r="D358" cm="1">
        <f t="array" aca="1" ref="D358" ca="1">_xlfn.XLOOKUP($B358,INDIRECT($A358&amp;"!A:A"),INDIRECT($A358&amp;"!E:E"),,0,1)</f>
        <v>-20.8</v>
      </c>
      <c r="E358" t="str">
        <f t="shared" ca="1" si="6"/>
        <v xml:space="preserve">              -155.25,-20.8,0</v>
      </c>
    </row>
    <row r="359" spans="1:5" x14ac:dyDescent="0.35">
      <c r="A359" t="s">
        <v>44</v>
      </c>
      <c r="B359">
        <f>COUNTIFS(A$1:A359,A359)-1</f>
        <v>63</v>
      </c>
      <c r="C359" cm="1">
        <f t="array" aca="1" ref="C359" ca="1">_xlfn.XLOOKUP(B359,INDIRECT(A359&amp;"!A:A"),INDIRECT(A359&amp;"!B:B"),,0,1)</f>
        <v>-155.5</v>
      </c>
      <c r="D359" cm="1">
        <f t="array" aca="1" ref="D359" ca="1">_xlfn.XLOOKUP($B359,INDIRECT($A359&amp;"!A:A"),INDIRECT($A359&amp;"!E:E"),,0,1)</f>
        <v>-20.81</v>
      </c>
      <c r="E359" t="str">
        <f t="shared" ca="1" si="6"/>
        <v xml:space="preserve">              -155.5,-20.81,0</v>
      </c>
    </row>
    <row r="360" spans="1:5" x14ac:dyDescent="0.35">
      <c r="A360" t="s">
        <v>44</v>
      </c>
      <c r="B360">
        <f>COUNTIFS(A$1:A360,A360)-1</f>
        <v>64</v>
      </c>
      <c r="C360" cm="1">
        <f t="array" aca="1" ref="C360" ca="1">_xlfn.XLOOKUP(B360,INDIRECT(A360&amp;"!A:A"),INDIRECT(A360&amp;"!B:B"),,0,1)</f>
        <v>-155.75</v>
      </c>
      <c r="D360" cm="1">
        <f t="array" aca="1" ref="D360" ca="1">_xlfn.XLOOKUP($B360,INDIRECT($A360&amp;"!A:A"),INDIRECT($A360&amp;"!E:E"),,0,1)</f>
        <v>-20.82</v>
      </c>
      <c r="E360" t="str">
        <f t="shared" ca="1" si="6"/>
        <v xml:space="preserve">              -155.75,-20.82,0</v>
      </c>
    </row>
    <row r="361" spans="1:5" x14ac:dyDescent="0.35">
      <c r="A361" t="s">
        <v>44</v>
      </c>
      <c r="B361">
        <f>COUNTIFS(A$1:A361,A361)-1</f>
        <v>65</v>
      </c>
      <c r="C361" cm="1">
        <f t="array" aca="1" ref="C361" ca="1">_xlfn.XLOOKUP(B361,INDIRECT(A361&amp;"!A:A"),INDIRECT(A361&amp;"!B:B"),,0,1)</f>
        <v>-156</v>
      </c>
      <c r="D361" cm="1">
        <f t="array" aca="1" ref="D361" ca="1">_xlfn.XLOOKUP($B361,INDIRECT($A361&amp;"!A:A"),INDIRECT($A361&amp;"!E:E"),,0,1)</f>
        <v>-20.83</v>
      </c>
      <c r="E361" t="str">
        <f t="shared" ref="E361:E424" ca="1" si="7">"              "&amp;C361&amp;","&amp;D361&amp;",0"</f>
        <v xml:space="preserve">              -156,-20.83,0</v>
      </c>
    </row>
    <row r="362" spans="1:5" x14ac:dyDescent="0.35">
      <c r="A362" t="s">
        <v>44</v>
      </c>
      <c r="B362">
        <f>COUNTIFS(A$1:A362,A362)-1</f>
        <v>66</v>
      </c>
      <c r="C362" cm="1">
        <f t="array" aca="1" ref="C362" ca="1">_xlfn.XLOOKUP(B362,INDIRECT(A362&amp;"!A:A"),INDIRECT(A362&amp;"!B:B"),,0,1)</f>
        <v>-156.25</v>
      </c>
      <c r="D362" cm="1">
        <f t="array" aca="1" ref="D362" ca="1">_xlfn.XLOOKUP($B362,INDIRECT($A362&amp;"!A:A"),INDIRECT($A362&amp;"!E:E"),,0,1)</f>
        <v>-20.84</v>
      </c>
      <c r="E362" t="str">
        <f t="shared" ca="1" si="7"/>
        <v xml:space="preserve">              -156.25,-20.84,0</v>
      </c>
    </row>
    <row r="363" spans="1:5" x14ac:dyDescent="0.35">
      <c r="A363" t="s">
        <v>44</v>
      </c>
      <c r="B363">
        <f>COUNTIFS(A$1:A363,A363)-1</f>
        <v>67</v>
      </c>
      <c r="C363" cm="1">
        <f t="array" aca="1" ref="C363" ca="1">_xlfn.XLOOKUP(B363,INDIRECT(A363&amp;"!A:A"),INDIRECT(A363&amp;"!B:B"),,0,1)</f>
        <v>-156.5</v>
      </c>
      <c r="D363" cm="1">
        <f t="array" aca="1" ref="D363" ca="1">_xlfn.XLOOKUP($B363,INDIRECT($A363&amp;"!A:A"),INDIRECT($A363&amp;"!E:E"),,0,1)</f>
        <v>-20.85</v>
      </c>
      <c r="E363" t="str">
        <f t="shared" ca="1" si="7"/>
        <v xml:space="preserve">              -156.5,-20.85,0</v>
      </c>
    </row>
    <row r="364" spans="1:5" x14ac:dyDescent="0.35">
      <c r="A364" t="s">
        <v>44</v>
      </c>
      <c r="B364">
        <f>COUNTIFS(A$1:A364,A364)-1</f>
        <v>68</v>
      </c>
      <c r="C364" cm="1">
        <f t="array" aca="1" ref="C364" ca="1">_xlfn.XLOOKUP(B364,INDIRECT(A364&amp;"!A:A"),INDIRECT(A364&amp;"!B:B"),,0,1)</f>
        <v>-156.75</v>
      </c>
      <c r="D364" cm="1">
        <f t="array" aca="1" ref="D364" ca="1">_xlfn.XLOOKUP($B364,INDIRECT($A364&amp;"!A:A"),INDIRECT($A364&amp;"!E:E"),,0,1)</f>
        <v>-20.86</v>
      </c>
      <c r="E364" t="str">
        <f t="shared" ca="1" si="7"/>
        <v xml:space="preserve">              -156.75,-20.86,0</v>
      </c>
    </row>
    <row r="365" spans="1:5" x14ac:dyDescent="0.35">
      <c r="A365" t="s">
        <v>44</v>
      </c>
      <c r="B365">
        <f>COUNTIFS(A$1:A365,A365)-1</f>
        <v>69</v>
      </c>
      <c r="C365" cm="1">
        <f t="array" aca="1" ref="C365" ca="1">_xlfn.XLOOKUP(B365,INDIRECT(A365&amp;"!A:A"),INDIRECT(A365&amp;"!B:B"),,0,1)</f>
        <v>-157</v>
      </c>
      <c r="D365" cm="1">
        <f t="array" aca="1" ref="D365" ca="1">_xlfn.XLOOKUP($B365,INDIRECT($A365&amp;"!A:A"),INDIRECT($A365&amp;"!E:E"),,0,1)</f>
        <v>-20.86</v>
      </c>
      <c r="E365" t="str">
        <f t="shared" ca="1" si="7"/>
        <v xml:space="preserve">              -157,-20.86,0</v>
      </c>
    </row>
    <row r="366" spans="1:5" x14ac:dyDescent="0.35">
      <c r="A366" t="s">
        <v>44</v>
      </c>
      <c r="B366">
        <f>COUNTIFS(A$1:A366,A366)-1</f>
        <v>70</v>
      </c>
      <c r="C366" cm="1">
        <f t="array" aca="1" ref="C366" ca="1">_xlfn.XLOOKUP(B366,INDIRECT(A366&amp;"!A:A"),INDIRECT(A366&amp;"!B:B"),,0,1)</f>
        <v>-157.25</v>
      </c>
      <c r="D366" cm="1">
        <f t="array" aca="1" ref="D366" ca="1">_xlfn.XLOOKUP($B366,INDIRECT($A366&amp;"!A:A"),INDIRECT($A366&amp;"!E:E"),,0,1)</f>
        <v>-20.87</v>
      </c>
      <c r="E366" t="str">
        <f t="shared" ca="1" si="7"/>
        <v xml:space="preserve">              -157.25,-20.87,0</v>
      </c>
    </row>
    <row r="367" spans="1:5" x14ac:dyDescent="0.35">
      <c r="A367" t="s">
        <v>44</v>
      </c>
      <c r="B367">
        <f>COUNTIFS(A$1:A367,A367)-1</f>
        <v>71</v>
      </c>
      <c r="C367" cm="1">
        <f t="array" aca="1" ref="C367" ca="1">_xlfn.XLOOKUP(B367,INDIRECT(A367&amp;"!A:A"),INDIRECT(A367&amp;"!B:B"),,0,1)</f>
        <v>-157.5</v>
      </c>
      <c r="D367" cm="1">
        <f t="array" aca="1" ref="D367" ca="1">_xlfn.XLOOKUP($B367,INDIRECT($A367&amp;"!A:A"),INDIRECT($A367&amp;"!E:E"),,0,1)</f>
        <v>-20.88</v>
      </c>
      <c r="E367" t="str">
        <f t="shared" ca="1" si="7"/>
        <v xml:space="preserve">              -157.5,-20.88,0</v>
      </c>
    </row>
    <row r="368" spans="1:5" x14ac:dyDescent="0.35">
      <c r="A368" t="s">
        <v>44</v>
      </c>
      <c r="B368">
        <f>COUNTIFS(A$1:A368,A368)-1</f>
        <v>72</v>
      </c>
      <c r="C368" cm="1">
        <f t="array" aca="1" ref="C368" ca="1">_xlfn.XLOOKUP(B368,INDIRECT(A368&amp;"!A:A"),INDIRECT(A368&amp;"!B:B"),,0,1)</f>
        <v>-157.75</v>
      </c>
      <c r="D368" cm="1">
        <f t="array" aca="1" ref="D368" ca="1">_xlfn.XLOOKUP($B368,INDIRECT($A368&amp;"!A:A"),INDIRECT($A368&amp;"!E:E"),,0,1)</f>
        <v>-20.88</v>
      </c>
      <c r="E368" t="str">
        <f t="shared" ca="1" si="7"/>
        <v xml:space="preserve">              -157.75,-20.88,0</v>
      </c>
    </row>
    <row r="369" spans="1:5" x14ac:dyDescent="0.35">
      <c r="A369" t="s">
        <v>44</v>
      </c>
      <c r="B369">
        <f>COUNTIFS(A$1:A369,A369)-1</f>
        <v>73</v>
      </c>
      <c r="C369" cm="1">
        <f t="array" aca="1" ref="C369" ca="1">_xlfn.XLOOKUP(B369,INDIRECT(A369&amp;"!A:A"),INDIRECT(A369&amp;"!B:B"),,0,1)</f>
        <v>-158</v>
      </c>
      <c r="D369" cm="1">
        <f t="array" aca="1" ref="D369" ca="1">_xlfn.XLOOKUP($B369,INDIRECT($A369&amp;"!A:A"),INDIRECT($A369&amp;"!E:E"),,0,1)</f>
        <v>-20.89</v>
      </c>
      <c r="E369" t="str">
        <f t="shared" ca="1" si="7"/>
        <v xml:space="preserve">              -158,-20.89,0</v>
      </c>
    </row>
    <row r="370" spans="1:5" x14ac:dyDescent="0.35">
      <c r="A370" t="s">
        <v>44</v>
      </c>
      <c r="B370">
        <f>COUNTIFS(A$1:A370,A370)-1</f>
        <v>74</v>
      </c>
      <c r="C370" cm="1">
        <f t="array" aca="1" ref="C370" ca="1">_xlfn.XLOOKUP(B370,INDIRECT(A370&amp;"!A:A"),INDIRECT(A370&amp;"!B:B"),,0,1)</f>
        <v>-158.25</v>
      </c>
      <c r="D370" cm="1">
        <f t="array" aca="1" ref="D370" ca="1">_xlfn.XLOOKUP($B370,INDIRECT($A370&amp;"!A:A"),INDIRECT($A370&amp;"!E:E"),,0,1)</f>
        <v>-20.9</v>
      </c>
      <c r="E370" t="str">
        <f t="shared" ca="1" si="7"/>
        <v xml:space="preserve">              -158.25,-20.9,0</v>
      </c>
    </row>
    <row r="371" spans="1:5" x14ac:dyDescent="0.35">
      <c r="A371" t="s">
        <v>44</v>
      </c>
      <c r="B371">
        <f>COUNTIFS(A$1:A371,A371)-1</f>
        <v>75</v>
      </c>
      <c r="C371" cm="1">
        <f t="array" aca="1" ref="C371" ca="1">_xlfn.XLOOKUP(B371,INDIRECT(A371&amp;"!A:A"),INDIRECT(A371&amp;"!B:B"),,0,1)</f>
        <v>-158.5</v>
      </c>
      <c r="D371" cm="1">
        <f t="array" aca="1" ref="D371" ca="1">_xlfn.XLOOKUP($B371,INDIRECT($A371&amp;"!A:A"),INDIRECT($A371&amp;"!E:E"),,0,1)</f>
        <v>-20.9</v>
      </c>
      <c r="E371" t="str">
        <f t="shared" ca="1" si="7"/>
        <v xml:space="preserve">              -158.5,-20.9,0</v>
      </c>
    </row>
    <row r="372" spans="1:5" x14ac:dyDescent="0.35">
      <c r="A372" t="s">
        <v>44</v>
      </c>
      <c r="B372">
        <f>COUNTIFS(A$1:A372,A372)-1</f>
        <v>76</v>
      </c>
      <c r="C372" cm="1">
        <f t="array" aca="1" ref="C372" ca="1">_xlfn.XLOOKUP(B372,INDIRECT(A372&amp;"!A:A"),INDIRECT(A372&amp;"!B:B"),,0,1)</f>
        <v>-158.75</v>
      </c>
      <c r="D372" cm="1">
        <f t="array" aca="1" ref="D372" ca="1">_xlfn.XLOOKUP($B372,INDIRECT($A372&amp;"!A:A"),INDIRECT($A372&amp;"!E:E"),,0,1)</f>
        <v>-20.91</v>
      </c>
      <c r="E372" t="str">
        <f t="shared" ca="1" si="7"/>
        <v xml:space="preserve">              -158.75,-20.91,0</v>
      </c>
    </row>
    <row r="373" spans="1:5" x14ac:dyDescent="0.35">
      <c r="A373" t="s">
        <v>44</v>
      </c>
      <c r="B373">
        <f>COUNTIFS(A$1:A373,A373)-1</f>
        <v>77</v>
      </c>
      <c r="C373" cm="1">
        <f t="array" aca="1" ref="C373" ca="1">_xlfn.XLOOKUP(B373,INDIRECT(A373&amp;"!A:A"),INDIRECT(A373&amp;"!B:B"),,0,1)</f>
        <v>-159</v>
      </c>
      <c r="D373" cm="1">
        <f t="array" aca="1" ref="D373" ca="1">_xlfn.XLOOKUP($B373,INDIRECT($A373&amp;"!A:A"),INDIRECT($A373&amp;"!E:E"),,0,1)</f>
        <v>-20.91</v>
      </c>
      <c r="E373" t="str">
        <f t="shared" ca="1" si="7"/>
        <v xml:space="preserve">              -159,-20.91,0</v>
      </c>
    </row>
    <row r="374" spans="1:5" x14ac:dyDescent="0.35">
      <c r="A374" t="s">
        <v>44</v>
      </c>
      <c r="B374">
        <f>COUNTIFS(A$1:A374,A374)-1</f>
        <v>78</v>
      </c>
      <c r="C374" cm="1">
        <f t="array" aca="1" ref="C374" ca="1">_xlfn.XLOOKUP(B374,INDIRECT(A374&amp;"!A:A"),INDIRECT(A374&amp;"!B:B"),,0,1)</f>
        <v>-159.25</v>
      </c>
      <c r="D374" cm="1">
        <f t="array" aca="1" ref="D374" ca="1">_xlfn.XLOOKUP($B374,INDIRECT($A374&amp;"!A:A"),INDIRECT($A374&amp;"!E:E"),,0,1)</f>
        <v>-20.92</v>
      </c>
      <c r="E374" t="str">
        <f t="shared" ca="1" si="7"/>
        <v xml:space="preserve">              -159.25,-20.92,0</v>
      </c>
    </row>
    <row r="375" spans="1:5" x14ac:dyDescent="0.35">
      <c r="A375" t="s">
        <v>44</v>
      </c>
      <c r="B375">
        <f>COUNTIFS(A$1:A375,A375)-1</f>
        <v>79</v>
      </c>
      <c r="C375" cm="1">
        <f t="array" aca="1" ref="C375" ca="1">_xlfn.XLOOKUP(B375,INDIRECT(A375&amp;"!A:A"),INDIRECT(A375&amp;"!B:B"),,0,1)</f>
        <v>-159.5</v>
      </c>
      <c r="D375" cm="1">
        <f t="array" aca="1" ref="D375" ca="1">_xlfn.XLOOKUP($B375,INDIRECT($A375&amp;"!A:A"),INDIRECT($A375&amp;"!E:E"),,0,1)</f>
        <v>-20.92</v>
      </c>
      <c r="E375" t="str">
        <f t="shared" ca="1" si="7"/>
        <v xml:space="preserve">              -159.5,-20.92,0</v>
      </c>
    </row>
    <row r="376" spans="1:5" x14ac:dyDescent="0.35">
      <c r="A376" t="s">
        <v>44</v>
      </c>
      <c r="B376">
        <f>COUNTIFS(A$1:A376,A376)-1</f>
        <v>80</v>
      </c>
      <c r="C376" cm="1">
        <f t="array" aca="1" ref="C376" ca="1">_xlfn.XLOOKUP(B376,INDIRECT(A376&amp;"!A:A"),INDIRECT(A376&amp;"!B:B"),,0,1)</f>
        <v>-159.75</v>
      </c>
      <c r="D376" cm="1">
        <f t="array" aca="1" ref="D376" ca="1">_xlfn.XLOOKUP($B376,INDIRECT($A376&amp;"!A:A"),INDIRECT($A376&amp;"!E:E"),,0,1)</f>
        <v>-20.92</v>
      </c>
      <c r="E376" t="str">
        <f t="shared" ca="1" si="7"/>
        <v xml:space="preserve">              -159.75,-20.92,0</v>
      </c>
    </row>
    <row r="377" spans="1:5" x14ac:dyDescent="0.35">
      <c r="A377" t="s">
        <v>44</v>
      </c>
      <c r="B377">
        <f>COUNTIFS(A$1:A377,A377)-1</f>
        <v>81</v>
      </c>
      <c r="C377" cm="1">
        <f t="array" aca="1" ref="C377" ca="1">_xlfn.XLOOKUP(B377,INDIRECT(A377&amp;"!A:A"),INDIRECT(A377&amp;"!B:B"),,0,1)</f>
        <v>-160</v>
      </c>
      <c r="D377" cm="1">
        <f t="array" aca="1" ref="D377" ca="1">_xlfn.XLOOKUP($B377,INDIRECT($A377&amp;"!A:A"),INDIRECT($A377&amp;"!E:E"),,0,1)</f>
        <v>-20.93</v>
      </c>
      <c r="E377" t="str">
        <f t="shared" ca="1" si="7"/>
        <v xml:space="preserve">              -160,-20.93,0</v>
      </c>
    </row>
    <row r="378" spans="1:5" x14ac:dyDescent="0.35">
      <c r="A378" t="s">
        <v>44</v>
      </c>
      <c r="B378">
        <f>COUNTIFS(A$1:A378,A378)-1</f>
        <v>82</v>
      </c>
      <c r="C378" cm="1">
        <f t="array" aca="1" ref="C378" ca="1">_xlfn.XLOOKUP(B378,INDIRECT(A378&amp;"!A:A"),INDIRECT(A378&amp;"!B:B"),,0,1)</f>
        <v>-160.25</v>
      </c>
      <c r="D378" cm="1">
        <f t="array" aca="1" ref="D378" ca="1">_xlfn.XLOOKUP($B378,INDIRECT($A378&amp;"!A:A"),INDIRECT($A378&amp;"!E:E"),,0,1)</f>
        <v>-20.93</v>
      </c>
      <c r="E378" t="str">
        <f t="shared" ca="1" si="7"/>
        <v xml:space="preserve">              -160.25,-20.93,0</v>
      </c>
    </row>
    <row r="379" spans="1:5" x14ac:dyDescent="0.35">
      <c r="A379" t="s">
        <v>44</v>
      </c>
      <c r="B379">
        <f>COUNTIFS(A$1:A379,A379)-1</f>
        <v>83</v>
      </c>
      <c r="C379" cm="1">
        <f t="array" aca="1" ref="C379" ca="1">_xlfn.XLOOKUP(B379,INDIRECT(A379&amp;"!A:A"),INDIRECT(A379&amp;"!B:B"),,0,1)</f>
        <v>-160.5</v>
      </c>
      <c r="D379" cm="1">
        <f t="array" aca="1" ref="D379" ca="1">_xlfn.XLOOKUP($B379,INDIRECT($A379&amp;"!A:A"),INDIRECT($A379&amp;"!E:E"),,0,1)</f>
        <v>-20.93</v>
      </c>
      <c r="E379" t="str">
        <f t="shared" ca="1" si="7"/>
        <v xml:space="preserve">              -160.5,-20.93,0</v>
      </c>
    </row>
    <row r="380" spans="1:5" x14ac:dyDescent="0.35">
      <c r="A380" t="s">
        <v>44</v>
      </c>
      <c r="B380">
        <f>COUNTIFS(A$1:A380,A380)-1</f>
        <v>84</v>
      </c>
      <c r="C380" cm="1">
        <f t="array" aca="1" ref="C380" ca="1">_xlfn.XLOOKUP(B380,INDIRECT(A380&amp;"!A:A"),INDIRECT(A380&amp;"!B:B"),,0,1)</f>
        <v>-160.75</v>
      </c>
      <c r="D380" cm="1">
        <f t="array" aca="1" ref="D380" ca="1">_xlfn.XLOOKUP($B380,INDIRECT($A380&amp;"!A:A"),INDIRECT($A380&amp;"!E:E"),,0,1)</f>
        <v>-20.93</v>
      </c>
      <c r="E380" t="str">
        <f t="shared" ca="1" si="7"/>
        <v xml:space="preserve">              -160.75,-20.93,0</v>
      </c>
    </row>
    <row r="381" spans="1:5" x14ac:dyDescent="0.35">
      <c r="A381" t="s">
        <v>44</v>
      </c>
      <c r="B381">
        <f>COUNTIFS(A$1:A381,A381)-1</f>
        <v>85</v>
      </c>
      <c r="C381" cm="1">
        <f t="array" aca="1" ref="C381" ca="1">_xlfn.XLOOKUP(B381,INDIRECT(A381&amp;"!A:A"),INDIRECT(A381&amp;"!B:B"),,0,1)</f>
        <v>-161</v>
      </c>
      <c r="D381" cm="1">
        <f t="array" aca="1" ref="D381" ca="1">_xlfn.XLOOKUP($B381,INDIRECT($A381&amp;"!A:A"),INDIRECT($A381&amp;"!E:E"),,0,1)</f>
        <v>-20.93</v>
      </c>
      <c r="E381" t="str">
        <f t="shared" ca="1" si="7"/>
        <v xml:space="preserve">              -161,-20.93,0</v>
      </c>
    </row>
    <row r="382" spans="1:5" x14ac:dyDescent="0.35">
      <c r="A382" t="s">
        <v>44</v>
      </c>
      <c r="B382">
        <f>COUNTIFS(A$1:A382,A382)-1</f>
        <v>86</v>
      </c>
      <c r="C382" cm="1">
        <f t="array" aca="1" ref="C382" ca="1">_xlfn.XLOOKUP(B382,INDIRECT(A382&amp;"!A:A"),INDIRECT(A382&amp;"!B:B"),,0,1)</f>
        <v>-161.25</v>
      </c>
      <c r="D382" cm="1">
        <f t="array" aca="1" ref="D382" ca="1">_xlfn.XLOOKUP($B382,INDIRECT($A382&amp;"!A:A"),INDIRECT($A382&amp;"!E:E"),,0,1)</f>
        <v>-20.94</v>
      </c>
      <c r="E382" t="str">
        <f t="shared" ca="1" si="7"/>
        <v xml:space="preserve">              -161.25,-20.94,0</v>
      </c>
    </row>
    <row r="383" spans="1:5" x14ac:dyDescent="0.35">
      <c r="A383" t="s">
        <v>44</v>
      </c>
      <c r="B383">
        <f>COUNTIFS(A$1:A383,A383)-1</f>
        <v>87</v>
      </c>
      <c r="C383" cm="1">
        <f t="array" aca="1" ref="C383" ca="1">_xlfn.XLOOKUP(B383,INDIRECT(A383&amp;"!A:A"),INDIRECT(A383&amp;"!B:B"),,0,1)</f>
        <v>-161.5</v>
      </c>
      <c r="D383" cm="1">
        <f t="array" aca="1" ref="D383" ca="1">_xlfn.XLOOKUP($B383,INDIRECT($A383&amp;"!A:A"),INDIRECT($A383&amp;"!E:E"),,0,1)</f>
        <v>-20.94</v>
      </c>
      <c r="E383" t="str">
        <f t="shared" ca="1" si="7"/>
        <v xml:space="preserve">              -161.5,-20.94,0</v>
      </c>
    </row>
    <row r="384" spans="1:5" x14ac:dyDescent="0.35">
      <c r="A384" t="s">
        <v>44</v>
      </c>
      <c r="B384">
        <f>COUNTIFS(A$1:A384,A384)-1</f>
        <v>88</v>
      </c>
      <c r="C384" cm="1">
        <f t="array" aca="1" ref="C384" ca="1">_xlfn.XLOOKUP(B384,INDIRECT(A384&amp;"!A:A"),INDIRECT(A384&amp;"!B:B"),,0,1)</f>
        <v>-161.75</v>
      </c>
      <c r="D384" cm="1">
        <f t="array" aca="1" ref="D384" ca="1">_xlfn.XLOOKUP($B384,INDIRECT($A384&amp;"!A:A"),INDIRECT($A384&amp;"!E:E"),,0,1)</f>
        <v>-20.94</v>
      </c>
      <c r="E384" t="str">
        <f t="shared" ca="1" si="7"/>
        <v xml:space="preserve">              -161.75,-20.94,0</v>
      </c>
    </row>
    <row r="385" spans="1:5" x14ac:dyDescent="0.35">
      <c r="A385" t="s">
        <v>44</v>
      </c>
      <c r="B385">
        <f>COUNTIFS(A$1:A385,A385)-1</f>
        <v>89</v>
      </c>
      <c r="C385" cm="1">
        <f t="array" aca="1" ref="C385" ca="1">_xlfn.XLOOKUP(B385,INDIRECT(A385&amp;"!A:A"),INDIRECT(A385&amp;"!B:B"),,0,1)</f>
        <v>-162</v>
      </c>
      <c r="D385" cm="1">
        <f t="array" aca="1" ref="D385" ca="1">_xlfn.XLOOKUP($B385,INDIRECT($A385&amp;"!A:A"),INDIRECT($A385&amp;"!E:E"),,0,1)</f>
        <v>-20.94</v>
      </c>
      <c r="E385" t="str">
        <f t="shared" ca="1" si="7"/>
        <v xml:space="preserve">              -162,-20.94,0</v>
      </c>
    </row>
    <row r="386" spans="1:5" x14ac:dyDescent="0.35">
      <c r="A386" t="s">
        <v>44</v>
      </c>
      <c r="B386">
        <f>COUNTIFS(A$1:A386,A386)-1</f>
        <v>90</v>
      </c>
      <c r="C386" cm="1">
        <f t="array" aca="1" ref="C386" ca="1">_xlfn.XLOOKUP(B386,INDIRECT(A386&amp;"!A:A"),INDIRECT(A386&amp;"!B:B"),,0,1)</f>
        <v>-162.25</v>
      </c>
      <c r="D386" cm="1">
        <f t="array" aca="1" ref="D386" ca="1">_xlfn.XLOOKUP($B386,INDIRECT($A386&amp;"!A:A"),INDIRECT($A386&amp;"!E:E"),,0,1)</f>
        <v>-20.94</v>
      </c>
      <c r="E386" t="str">
        <f t="shared" ca="1" si="7"/>
        <v xml:space="preserve">              -162.25,-20.94,0</v>
      </c>
    </row>
    <row r="387" spans="1:5" x14ac:dyDescent="0.35">
      <c r="A387" t="s">
        <v>44</v>
      </c>
      <c r="B387">
        <f>COUNTIFS(A$1:A387,A387)-1</f>
        <v>91</v>
      </c>
      <c r="C387" cm="1">
        <f t="array" aca="1" ref="C387" ca="1">_xlfn.XLOOKUP(B387,INDIRECT(A387&amp;"!A:A"),INDIRECT(A387&amp;"!B:B"),,0,1)</f>
        <v>-162.5</v>
      </c>
      <c r="D387" cm="1">
        <f t="array" aca="1" ref="D387" ca="1">_xlfn.XLOOKUP($B387,INDIRECT($A387&amp;"!A:A"),INDIRECT($A387&amp;"!E:E"),,0,1)</f>
        <v>-20.94</v>
      </c>
      <c r="E387" t="str">
        <f t="shared" ca="1" si="7"/>
        <v xml:space="preserve">              -162.5,-20.94,0</v>
      </c>
    </row>
    <row r="388" spans="1:5" x14ac:dyDescent="0.35">
      <c r="A388" t="s">
        <v>44</v>
      </c>
      <c r="B388">
        <f>COUNTIFS(A$1:A388,A388)-1</f>
        <v>92</v>
      </c>
      <c r="C388" cm="1">
        <f t="array" aca="1" ref="C388" ca="1">_xlfn.XLOOKUP(B388,INDIRECT(A388&amp;"!A:A"),INDIRECT(A388&amp;"!B:B"),,0,1)</f>
        <v>-162.75</v>
      </c>
      <c r="D388" cm="1">
        <f t="array" aca="1" ref="D388" ca="1">_xlfn.XLOOKUP($B388,INDIRECT($A388&amp;"!A:A"),INDIRECT($A388&amp;"!E:E"),,0,1)</f>
        <v>-20.94</v>
      </c>
      <c r="E388" t="str">
        <f t="shared" ca="1" si="7"/>
        <v xml:space="preserve">              -162.75,-20.94,0</v>
      </c>
    </row>
    <row r="389" spans="1:5" x14ac:dyDescent="0.35">
      <c r="A389" t="s">
        <v>44</v>
      </c>
      <c r="B389">
        <f>COUNTIFS(A$1:A389,A389)-1</f>
        <v>93</v>
      </c>
      <c r="C389" cm="1">
        <f t="array" aca="1" ref="C389" ca="1">_xlfn.XLOOKUP(B389,INDIRECT(A389&amp;"!A:A"),INDIRECT(A389&amp;"!B:B"),,0,1)</f>
        <v>-163</v>
      </c>
      <c r="D389" cm="1">
        <f t="array" aca="1" ref="D389" ca="1">_xlfn.XLOOKUP($B389,INDIRECT($A389&amp;"!A:A"),INDIRECT($A389&amp;"!E:E"),,0,1)</f>
        <v>-20.93</v>
      </c>
      <c r="E389" t="str">
        <f t="shared" ca="1" si="7"/>
        <v xml:space="preserve">              -163,-20.93,0</v>
      </c>
    </row>
    <row r="390" spans="1:5" x14ac:dyDescent="0.35">
      <c r="A390" t="s">
        <v>44</v>
      </c>
      <c r="B390">
        <f>COUNTIFS(A$1:A390,A390)-1</f>
        <v>94</v>
      </c>
      <c r="C390" cm="1">
        <f t="array" aca="1" ref="C390" ca="1">_xlfn.XLOOKUP(B390,INDIRECT(A390&amp;"!A:A"),INDIRECT(A390&amp;"!B:B"),,0,1)</f>
        <v>-163.25</v>
      </c>
      <c r="D390" cm="1">
        <f t="array" aca="1" ref="D390" ca="1">_xlfn.XLOOKUP($B390,INDIRECT($A390&amp;"!A:A"),INDIRECT($A390&amp;"!E:E"),,0,1)</f>
        <v>-20.93</v>
      </c>
      <c r="E390" t="str">
        <f t="shared" ca="1" si="7"/>
        <v xml:space="preserve">              -163.25,-20.93,0</v>
      </c>
    </row>
    <row r="391" spans="1:5" x14ac:dyDescent="0.35">
      <c r="A391" t="s">
        <v>44</v>
      </c>
      <c r="B391">
        <f>COUNTIFS(A$1:A391,A391)-1</f>
        <v>95</v>
      </c>
      <c r="C391" cm="1">
        <f t="array" aca="1" ref="C391" ca="1">_xlfn.XLOOKUP(B391,INDIRECT(A391&amp;"!A:A"),INDIRECT(A391&amp;"!B:B"),,0,1)</f>
        <v>-163.5</v>
      </c>
      <c r="D391" cm="1">
        <f t="array" aca="1" ref="D391" ca="1">_xlfn.XLOOKUP($B391,INDIRECT($A391&amp;"!A:A"),INDIRECT($A391&amp;"!E:E"),,0,1)</f>
        <v>-20.93</v>
      </c>
      <c r="E391" t="str">
        <f t="shared" ca="1" si="7"/>
        <v xml:space="preserve">              -163.5,-20.93,0</v>
      </c>
    </row>
    <row r="392" spans="1:5" x14ac:dyDescent="0.35">
      <c r="A392" t="s">
        <v>44</v>
      </c>
      <c r="B392">
        <f>COUNTIFS(A$1:A392,A392)-1</f>
        <v>96</v>
      </c>
      <c r="C392" cm="1">
        <f t="array" aca="1" ref="C392" ca="1">_xlfn.XLOOKUP(B392,INDIRECT(A392&amp;"!A:A"),INDIRECT(A392&amp;"!B:B"),,0,1)</f>
        <v>-163.75</v>
      </c>
      <c r="D392" cm="1">
        <f t="array" aca="1" ref="D392" ca="1">_xlfn.XLOOKUP($B392,INDIRECT($A392&amp;"!A:A"),INDIRECT($A392&amp;"!E:E"),,0,1)</f>
        <v>-20.93</v>
      </c>
      <c r="E392" t="str">
        <f t="shared" ca="1" si="7"/>
        <v xml:space="preserve">              -163.75,-20.93,0</v>
      </c>
    </row>
    <row r="393" spans="1:5" x14ac:dyDescent="0.35">
      <c r="A393" t="s">
        <v>44</v>
      </c>
      <c r="B393">
        <f>COUNTIFS(A$1:A393,A393)-1</f>
        <v>97</v>
      </c>
      <c r="C393" cm="1">
        <f t="array" aca="1" ref="C393" ca="1">_xlfn.XLOOKUP(B393,INDIRECT(A393&amp;"!A:A"),INDIRECT(A393&amp;"!B:B"),,0,1)</f>
        <v>-164</v>
      </c>
      <c r="D393" cm="1">
        <f t="array" aca="1" ref="D393" ca="1">_xlfn.XLOOKUP($B393,INDIRECT($A393&amp;"!A:A"),INDIRECT($A393&amp;"!E:E"),,0,1)</f>
        <v>-20.93</v>
      </c>
      <c r="E393" t="str">
        <f t="shared" ca="1" si="7"/>
        <v xml:space="preserve">              -164,-20.93,0</v>
      </c>
    </row>
    <row r="394" spans="1:5" x14ac:dyDescent="0.35">
      <c r="A394" t="s">
        <v>44</v>
      </c>
      <c r="B394">
        <f>COUNTIFS(A$1:A394,A394)-1</f>
        <v>98</v>
      </c>
      <c r="C394" cm="1">
        <f t="array" aca="1" ref="C394" ca="1">_xlfn.XLOOKUP(B394,INDIRECT(A394&amp;"!A:A"),INDIRECT(A394&amp;"!B:B"),,0,1)</f>
        <v>-164.25</v>
      </c>
      <c r="D394" cm="1">
        <f t="array" aca="1" ref="D394" ca="1">_xlfn.XLOOKUP($B394,INDIRECT($A394&amp;"!A:A"),INDIRECT($A394&amp;"!E:E"),,0,1)</f>
        <v>-20.92</v>
      </c>
      <c r="E394" t="str">
        <f t="shared" ca="1" si="7"/>
        <v xml:space="preserve">              -164.25,-20.92,0</v>
      </c>
    </row>
    <row r="395" spans="1:5" x14ac:dyDescent="0.35">
      <c r="A395" t="s">
        <v>44</v>
      </c>
      <c r="B395">
        <f>COUNTIFS(A$1:A395,A395)-1</f>
        <v>99</v>
      </c>
      <c r="C395" cm="1">
        <f t="array" aca="1" ref="C395" ca="1">_xlfn.XLOOKUP(B395,INDIRECT(A395&amp;"!A:A"),INDIRECT(A395&amp;"!B:B"),,0,1)</f>
        <v>-164.5</v>
      </c>
      <c r="D395" cm="1">
        <f t="array" aca="1" ref="D395" ca="1">_xlfn.XLOOKUP($B395,INDIRECT($A395&amp;"!A:A"),INDIRECT($A395&amp;"!E:E"),,0,1)</f>
        <v>-20.92</v>
      </c>
      <c r="E395" t="str">
        <f t="shared" ca="1" si="7"/>
        <v xml:space="preserve">              -164.5,-20.92,0</v>
      </c>
    </row>
    <row r="396" spans="1:5" x14ac:dyDescent="0.35">
      <c r="A396" t="s">
        <v>44</v>
      </c>
      <c r="B396">
        <f>COUNTIFS(A$1:A396,A396)-1</f>
        <v>100</v>
      </c>
      <c r="C396" cm="1">
        <f t="array" aca="1" ref="C396" ca="1">_xlfn.XLOOKUP(B396,INDIRECT(A396&amp;"!A:A"),INDIRECT(A396&amp;"!B:B"),,0,1)</f>
        <v>-164.75</v>
      </c>
      <c r="D396" cm="1">
        <f t="array" aca="1" ref="D396" ca="1">_xlfn.XLOOKUP($B396,INDIRECT($A396&amp;"!A:A"),INDIRECT($A396&amp;"!E:E"),,0,1)</f>
        <v>-20.92</v>
      </c>
      <c r="E396" t="str">
        <f t="shared" ca="1" si="7"/>
        <v xml:space="preserve">              -164.75,-20.92,0</v>
      </c>
    </row>
    <row r="397" spans="1:5" x14ac:dyDescent="0.35">
      <c r="A397" t="s">
        <v>44</v>
      </c>
      <c r="B397">
        <f>COUNTIFS(A$1:A397,A397)-1</f>
        <v>101</v>
      </c>
      <c r="C397" cm="1">
        <f t="array" aca="1" ref="C397" ca="1">_xlfn.XLOOKUP(B397,INDIRECT(A397&amp;"!A:A"),INDIRECT(A397&amp;"!B:B"),,0,1)</f>
        <v>-165</v>
      </c>
      <c r="D397" cm="1">
        <f t="array" aca="1" ref="D397" ca="1">_xlfn.XLOOKUP($B397,INDIRECT($A397&amp;"!A:A"),INDIRECT($A397&amp;"!E:E"),,0,1)</f>
        <v>-20.91</v>
      </c>
      <c r="E397" t="str">
        <f t="shared" ca="1" si="7"/>
        <v xml:space="preserve">              -165,-20.91,0</v>
      </c>
    </row>
    <row r="398" spans="1:5" x14ac:dyDescent="0.35">
      <c r="A398" t="s">
        <v>44</v>
      </c>
      <c r="B398">
        <f>COUNTIFS(A$1:A398,A398)-1</f>
        <v>102</v>
      </c>
      <c r="C398" cm="1">
        <f t="array" aca="1" ref="C398" ca="1">_xlfn.XLOOKUP(B398,INDIRECT(A398&amp;"!A:A"),INDIRECT(A398&amp;"!B:B"),,0,1)</f>
        <v>-165.25</v>
      </c>
      <c r="D398" cm="1">
        <f t="array" aca="1" ref="D398" ca="1">_xlfn.XLOOKUP($B398,INDIRECT($A398&amp;"!A:A"),INDIRECT($A398&amp;"!E:E"),,0,1)</f>
        <v>-20.91</v>
      </c>
      <c r="E398" t="str">
        <f t="shared" ca="1" si="7"/>
        <v xml:space="preserve">              -165.25,-20.91,0</v>
      </c>
    </row>
    <row r="399" spans="1:5" x14ac:dyDescent="0.35">
      <c r="A399" t="s">
        <v>44</v>
      </c>
      <c r="B399">
        <f>COUNTIFS(A$1:A399,A399)-1</f>
        <v>103</v>
      </c>
      <c r="C399" cm="1">
        <f t="array" aca="1" ref="C399" ca="1">_xlfn.XLOOKUP(B399,INDIRECT(A399&amp;"!A:A"),INDIRECT(A399&amp;"!B:B"),,0,1)</f>
        <v>-165.5</v>
      </c>
      <c r="D399" cm="1">
        <f t="array" aca="1" ref="D399" ca="1">_xlfn.XLOOKUP($B399,INDIRECT($A399&amp;"!A:A"),INDIRECT($A399&amp;"!E:E"),,0,1)</f>
        <v>-20.9</v>
      </c>
      <c r="E399" t="str">
        <f t="shared" ca="1" si="7"/>
        <v xml:space="preserve">              -165.5,-20.9,0</v>
      </c>
    </row>
    <row r="400" spans="1:5" x14ac:dyDescent="0.35">
      <c r="A400" t="s">
        <v>44</v>
      </c>
      <c r="B400">
        <f>COUNTIFS(A$1:A400,A400)-1</f>
        <v>104</v>
      </c>
      <c r="C400" cm="1">
        <f t="array" aca="1" ref="C400" ca="1">_xlfn.XLOOKUP(B400,INDIRECT(A400&amp;"!A:A"),INDIRECT(A400&amp;"!B:B"),,0,1)</f>
        <v>-165.75</v>
      </c>
      <c r="D400" cm="1">
        <f t="array" aca="1" ref="D400" ca="1">_xlfn.XLOOKUP($B400,INDIRECT($A400&amp;"!A:A"),INDIRECT($A400&amp;"!E:E"),,0,1)</f>
        <v>-20.9</v>
      </c>
      <c r="E400" t="str">
        <f t="shared" ca="1" si="7"/>
        <v xml:space="preserve">              -165.75,-20.9,0</v>
      </c>
    </row>
    <row r="401" spans="1:5" x14ac:dyDescent="0.35">
      <c r="A401" t="s">
        <v>44</v>
      </c>
      <c r="B401">
        <f>COUNTIFS(A$1:A401,A401)-1</f>
        <v>105</v>
      </c>
      <c r="C401" cm="1">
        <f t="array" aca="1" ref="C401" ca="1">_xlfn.XLOOKUP(B401,INDIRECT(A401&amp;"!A:A"),INDIRECT(A401&amp;"!B:B"),,0,1)</f>
        <v>-166</v>
      </c>
      <c r="D401" cm="1">
        <f t="array" aca="1" ref="D401" ca="1">_xlfn.XLOOKUP($B401,INDIRECT($A401&amp;"!A:A"),INDIRECT($A401&amp;"!E:E"),,0,1)</f>
        <v>-20.89</v>
      </c>
      <c r="E401" t="str">
        <f t="shared" ca="1" si="7"/>
        <v xml:space="preserve">              -166,-20.89,0</v>
      </c>
    </row>
    <row r="402" spans="1:5" x14ac:dyDescent="0.35">
      <c r="A402" t="s">
        <v>44</v>
      </c>
      <c r="B402">
        <f>COUNTIFS(A$1:A402,A402)-1</f>
        <v>106</v>
      </c>
      <c r="C402" cm="1">
        <f t="array" aca="1" ref="C402" ca="1">_xlfn.XLOOKUP(B402,INDIRECT(A402&amp;"!A:A"),INDIRECT(A402&amp;"!B:B"),,0,1)</f>
        <v>-166.25</v>
      </c>
      <c r="D402" cm="1">
        <f t="array" aca="1" ref="D402" ca="1">_xlfn.XLOOKUP($B402,INDIRECT($A402&amp;"!A:A"),INDIRECT($A402&amp;"!E:E"),,0,1)</f>
        <v>-20.88</v>
      </c>
      <c r="E402" t="str">
        <f t="shared" ca="1" si="7"/>
        <v xml:space="preserve">              -166.25,-20.88,0</v>
      </c>
    </row>
    <row r="403" spans="1:5" x14ac:dyDescent="0.35">
      <c r="A403" t="s">
        <v>44</v>
      </c>
      <c r="B403">
        <f>COUNTIFS(A$1:A403,A403)-1</f>
        <v>107</v>
      </c>
      <c r="C403" cm="1">
        <f t="array" aca="1" ref="C403" ca="1">_xlfn.XLOOKUP(B403,INDIRECT(A403&amp;"!A:A"),INDIRECT(A403&amp;"!B:B"),,0,1)</f>
        <v>-166.5</v>
      </c>
      <c r="D403" cm="1">
        <f t="array" aca="1" ref="D403" ca="1">_xlfn.XLOOKUP($B403,INDIRECT($A403&amp;"!A:A"),INDIRECT($A403&amp;"!E:E"),,0,1)</f>
        <v>-20.88</v>
      </c>
      <c r="E403" t="str">
        <f t="shared" ca="1" si="7"/>
        <v xml:space="preserve">              -166.5,-20.88,0</v>
      </c>
    </row>
    <row r="404" spans="1:5" x14ac:dyDescent="0.35">
      <c r="A404" t="s">
        <v>44</v>
      </c>
      <c r="B404">
        <f>COUNTIFS(A$1:A404,A404)-1</f>
        <v>108</v>
      </c>
      <c r="C404" cm="1">
        <f t="array" aca="1" ref="C404" ca="1">_xlfn.XLOOKUP(B404,INDIRECT(A404&amp;"!A:A"),INDIRECT(A404&amp;"!B:B"),,0,1)</f>
        <v>-166.75</v>
      </c>
      <c r="D404" cm="1">
        <f t="array" aca="1" ref="D404" ca="1">_xlfn.XLOOKUP($B404,INDIRECT($A404&amp;"!A:A"),INDIRECT($A404&amp;"!E:E"),,0,1)</f>
        <v>-20.87</v>
      </c>
      <c r="E404" t="str">
        <f t="shared" ca="1" si="7"/>
        <v xml:space="preserve">              -166.75,-20.87,0</v>
      </c>
    </row>
    <row r="405" spans="1:5" x14ac:dyDescent="0.35">
      <c r="A405" t="s">
        <v>44</v>
      </c>
      <c r="B405">
        <f>COUNTIFS(A$1:A405,A405)-1</f>
        <v>109</v>
      </c>
      <c r="C405" cm="1">
        <f t="array" aca="1" ref="C405" ca="1">_xlfn.XLOOKUP(B405,INDIRECT(A405&amp;"!A:A"),INDIRECT(A405&amp;"!B:B"),,0,1)</f>
        <v>-167</v>
      </c>
      <c r="D405" cm="1">
        <f t="array" aca="1" ref="D405" ca="1">_xlfn.XLOOKUP($B405,INDIRECT($A405&amp;"!A:A"),INDIRECT($A405&amp;"!E:E"),,0,1)</f>
        <v>-20.86</v>
      </c>
      <c r="E405" t="str">
        <f t="shared" ca="1" si="7"/>
        <v xml:space="preserve">              -167,-20.86,0</v>
      </c>
    </row>
    <row r="406" spans="1:5" x14ac:dyDescent="0.35">
      <c r="A406" t="s">
        <v>44</v>
      </c>
      <c r="B406">
        <f>COUNTIFS(A$1:A406,A406)-1</f>
        <v>110</v>
      </c>
      <c r="C406" cm="1">
        <f t="array" aca="1" ref="C406" ca="1">_xlfn.XLOOKUP(B406,INDIRECT(A406&amp;"!A:A"),INDIRECT(A406&amp;"!B:B"),,0,1)</f>
        <v>-167.25</v>
      </c>
      <c r="D406" cm="1">
        <f t="array" aca="1" ref="D406" ca="1">_xlfn.XLOOKUP($B406,INDIRECT($A406&amp;"!A:A"),INDIRECT($A406&amp;"!E:E"),,0,1)</f>
        <v>-20.86</v>
      </c>
      <c r="E406" t="str">
        <f t="shared" ca="1" si="7"/>
        <v xml:space="preserve">              -167.25,-20.86,0</v>
      </c>
    </row>
    <row r="407" spans="1:5" x14ac:dyDescent="0.35">
      <c r="A407" t="s">
        <v>44</v>
      </c>
      <c r="B407">
        <f>COUNTIFS(A$1:A407,A407)-1</f>
        <v>111</v>
      </c>
      <c r="C407" cm="1">
        <f t="array" aca="1" ref="C407" ca="1">_xlfn.XLOOKUP(B407,INDIRECT(A407&amp;"!A:A"),INDIRECT(A407&amp;"!B:B"),,0,1)</f>
        <v>-167.5</v>
      </c>
      <c r="D407" cm="1">
        <f t="array" aca="1" ref="D407" ca="1">_xlfn.XLOOKUP($B407,INDIRECT($A407&amp;"!A:A"),INDIRECT($A407&amp;"!E:E"),,0,1)</f>
        <v>-20.85</v>
      </c>
      <c r="E407" t="str">
        <f t="shared" ca="1" si="7"/>
        <v xml:space="preserve">              -167.5,-20.85,0</v>
      </c>
    </row>
    <row r="408" spans="1:5" x14ac:dyDescent="0.35">
      <c r="A408" t="s">
        <v>44</v>
      </c>
      <c r="B408">
        <f>COUNTIFS(A$1:A408,A408)-1</f>
        <v>112</v>
      </c>
      <c r="C408" cm="1">
        <f t="array" aca="1" ref="C408" ca="1">_xlfn.XLOOKUP(B408,INDIRECT(A408&amp;"!A:A"),INDIRECT(A408&amp;"!B:B"),,0,1)</f>
        <v>-167.75</v>
      </c>
      <c r="D408" cm="1">
        <f t="array" aca="1" ref="D408" ca="1">_xlfn.XLOOKUP($B408,INDIRECT($A408&amp;"!A:A"),INDIRECT($A408&amp;"!E:E"),,0,1)</f>
        <v>-20.84</v>
      </c>
      <c r="E408" t="str">
        <f t="shared" ca="1" si="7"/>
        <v xml:space="preserve">              -167.75,-20.84,0</v>
      </c>
    </row>
    <row r="409" spans="1:5" x14ac:dyDescent="0.35">
      <c r="A409" t="s">
        <v>44</v>
      </c>
      <c r="B409">
        <f>COUNTIFS(A$1:A409,A409)-1</f>
        <v>113</v>
      </c>
      <c r="C409" cm="1">
        <f t="array" aca="1" ref="C409" ca="1">_xlfn.XLOOKUP(B409,INDIRECT(A409&amp;"!A:A"),INDIRECT(A409&amp;"!B:B"),,0,1)</f>
        <v>-168</v>
      </c>
      <c r="D409" cm="1">
        <f t="array" aca="1" ref="D409" ca="1">_xlfn.XLOOKUP($B409,INDIRECT($A409&amp;"!A:A"),INDIRECT($A409&amp;"!E:E"),,0,1)</f>
        <v>-20.83</v>
      </c>
      <c r="E409" t="str">
        <f t="shared" ca="1" si="7"/>
        <v xml:space="preserve">              -168,-20.83,0</v>
      </c>
    </row>
    <row r="410" spans="1:5" x14ac:dyDescent="0.35">
      <c r="A410" t="s">
        <v>44</v>
      </c>
      <c r="B410">
        <f>COUNTIFS(A$1:A410,A410)-1</f>
        <v>114</v>
      </c>
      <c r="C410" cm="1">
        <f t="array" aca="1" ref="C410" ca="1">_xlfn.XLOOKUP(B410,INDIRECT(A410&amp;"!A:A"),INDIRECT(A410&amp;"!B:B"),,0,1)</f>
        <v>-168.25</v>
      </c>
      <c r="D410" cm="1">
        <f t="array" aca="1" ref="D410" ca="1">_xlfn.XLOOKUP($B410,INDIRECT($A410&amp;"!A:A"),INDIRECT($A410&amp;"!E:E"),,0,1)</f>
        <v>-20.82</v>
      </c>
      <c r="E410" t="str">
        <f t="shared" ca="1" si="7"/>
        <v xml:space="preserve">              -168.25,-20.82,0</v>
      </c>
    </row>
    <row r="411" spans="1:5" x14ac:dyDescent="0.35">
      <c r="A411" t="s">
        <v>44</v>
      </c>
      <c r="B411">
        <f>COUNTIFS(A$1:A411,A411)-1</f>
        <v>115</v>
      </c>
      <c r="C411" cm="1">
        <f t="array" aca="1" ref="C411" ca="1">_xlfn.XLOOKUP(B411,INDIRECT(A411&amp;"!A:A"),INDIRECT(A411&amp;"!B:B"),,0,1)</f>
        <v>-168.5</v>
      </c>
      <c r="D411" cm="1">
        <f t="array" aca="1" ref="D411" ca="1">_xlfn.XLOOKUP($B411,INDIRECT($A411&amp;"!A:A"),INDIRECT($A411&amp;"!E:E"),,0,1)</f>
        <v>-20.81</v>
      </c>
      <c r="E411" t="str">
        <f t="shared" ca="1" si="7"/>
        <v xml:space="preserve">              -168.5,-20.81,0</v>
      </c>
    </row>
    <row r="412" spans="1:5" x14ac:dyDescent="0.35">
      <c r="A412" t="s">
        <v>44</v>
      </c>
      <c r="B412">
        <f>COUNTIFS(A$1:A412,A412)-1</f>
        <v>116</v>
      </c>
      <c r="C412" cm="1">
        <f t="array" aca="1" ref="C412" ca="1">_xlfn.XLOOKUP(B412,INDIRECT(A412&amp;"!A:A"),INDIRECT(A412&amp;"!B:B"),,0,1)</f>
        <v>-168.75</v>
      </c>
      <c r="D412" cm="1">
        <f t="array" aca="1" ref="D412" ca="1">_xlfn.XLOOKUP($B412,INDIRECT($A412&amp;"!A:A"),INDIRECT($A412&amp;"!E:E"),,0,1)</f>
        <v>-20.8</v>
      </c>
      <c r="E412" t="str">
        <f t="shared" ca="1" si="7"/>
        <v xml:space="preserve">              -168.75,-20.8,0</v>
      </c>
    </row>
    <row r="413" spans="1:5" x14ac:dyDescent="0.35">
      <c r="A413" t="s">
        <v>44</v>
      </c>
      <c r="B413">
        <f>COUNTIFS(A$1:A413,A413)-1</f>
        <v>117</v>
      </c>
      <c r="C413" cm="1">
        <f t="array" aca="1" ref="C413" ca="1">_xlfn.XLOOKUP(B413,INDIRECT(A413&amp;"!A:A"),INDIRECT(A413&amp;"!B:B"),,0,1)</f>
        <v>-169</v>
      </c>
      <c r="D413" cm="1">
        <f t="array" aca="1" ref="D413" ca="1">_xlfn.XLOOKUP($B413,INDIRECT($A413&amp;"!A:A"),INDIRECT($A413&amp;"!E:E"),,0,1)</f>
        <v>-20.79</v>
      </c>
      <c r="E413" t="str">
        <f t="shared" ca="1" si="7"/>
        <v xml:space="preserve">              -169,-20.79,0</v>
      </c>
    </row>
    <row r="414" spans="1:5" x14ac:dyDescent="0.35">
      <c r="A414" t="s">
        <v>44</v>
      </c>
      <c r="B414">
        <f>COUNTIFS(A$1:A414,A414)-1</f>
        <v>118</v>
      </c>
      <c r="C414" cm="1">
        <f t="array" aca="1" ref="C414" ca="1">_xlfn.XLOOKUP(B414,INDIRECT(A414&amp;"!A:A"),INDIRECT(A414&amp;"!B:B"),,0,1)</f>
        <v>-169.25</v>
      </c>
      <c r="D414" cm="1">
        <f t="array" aca="1" ref="D414" ca="1">_xlfn.XLOOKUP($B414,INDIRECT($A414&amp;"!A:A"),INDIRECT($A414&amp;"!E:E"),,0,1)</f>
        <v>-20.78</v>
      </c>
      <c r="E414" t="str">
        <f t="shared" ca="1" si="7"/>
        <v xml:space="preserve">              -169.25,-20.78,0</v>
      </c>
    </row>
    <row r="415" spans="1:5" x14ac:dyDescent="0.35">
      <c r="A415" t="s">
        <v>44</v>
      </c>
      <c r="B415">
        <f>COUNTIFS(A$1:A415,A415)-1</f>
        <v>119</v>
      </c>
      <c r="C415" cm="1">
        <f t="array" aca="1" ref="C415" ca="1">_xlfn.XLOOKUP(B415,INDIRECT(A415&amp;"!A:A"),INDIRECT(A415&amp;"!B:B"),,0,1)</f>
        <v>-169.5</v>
      </c>
      <c r="D415" cm="1">
        <f t="array" aca="1" ref="D415" ca="1">_xlfn.XLOOKUP($B415,INDIRECT($A415&amp;"!A:A"),INDIRECT($A415&amp;"!E:E"),,0,1)</f>
        <v>-20.77</v>
      </c>
      <c r="E415" t="str">
        <f t="shared" ca="1" si="7"/>
        <v xml:space="preserve">              -169.5,-20.77,0</v>
      </c>
    </row>
    <row r="416" spans="1:5" x14ac:dyDescent="0.35">
      <c r="A416" t="s">
        <v>44</v>
      </c>
      <c r="B416">
        <f>COUNTIFS(A$1:A416,A416)-1</f>
        <v>120</v>
      </c>
      <c r="C416" cm="1">
        <f t="array" aca="1" ref="C416" ca="1">_xlfn.XLOOKUP(B416,INDIRECT(A416&amp;"!A:A"),INDIRECT(A416&amp;"!B:B"),,0,1)</f>
        <v>-169.75</v>
      </c>
      <c r="D416" cm="1">
        <f t="array" aca="1" ref="D416" ca="1">_xlfn.XLOOKUP($B416,INDIRECT($A416&amp;"!A:A"),INDIRECT($A416&amp;"!E:E"),,0,1)</f>
        <v>-20.76</v>
      </c>
      <c r="E416" t="str">
        <f t="shared" ca="1" si="7"/>
        <v xml:space="preserve">              -169.75,-20.76,0</v>
      </c>
    </row>
    <row r="417" spans="1:5" x14ac:dyDescent="0.35">
      <c r="A417" t="s">
        <v>44</v>
      </c>
      <c r="B417">
        <f>COUNTIFS(A$1:A417,A417)-1</f>
        <v>121</v>
      </c>
      <c r="C417" cm="1">
        <f t="array" aca="1" ref="C417" ca="1">_xlfn.XLOOKUP(B417,INDIRECT(A417&amp;"!A:A"),INDIRECT(A417&amp;"!B:B"),,0,1)</f>
        <v>-170</v>
      </c>
      <c r="D417" cm="1">
        <f t="array" aca="1" ref="D417" ca="1">_xlfn.XLOOKUP($B417,INDIRECT($A417&amp;"!A:A"),INDIRECT($A417&amp;"!E:E"),,0,1)</f>
        <v>-20.75</v>
      </c>
      <c r="E417" t="str">
        <f t="shared" ca="1" si="7"/>
        <v xml:space="preserve">              -170,-20.75,0</v>
      </c>
    </row>
    <row r="418" spans="1:5" x14ac:dyDescent="0.35">
      <c r="A418" t="s">
        <v>44</v>
      </c>
      <c r="B418">
        <f>COUNTIFS(A$1:A418,A418)-1</f>
        <v>122</v>
      </c>
      <c r="C418" cm="1">
        <f t="array" aca="1" ref="C418" ca="1">_xlfn.XLOOKUP(B418,INDIRECT(A418&amp;"!A:A"),INDIRECT(A418&amp;"!B:B"),,0,1)</f>
        <v>-170.25</v>
      </c>
      <c r="D418" cm="1">
        <f t="array" aca="1" ref="D418" ca="1">_xlfn.XLOOKUP($B418,INDIRECT($A418&amp;"!A:A"),INDIRECT($A418&amp;"!E:E"),,0,1)</f>
        <v>-20.74</v>
      </c>
      <c r="E418" t="str">
        <f t="shared" ca="1" si="7"/>
        <v xml:space="preserve">              -170.25,-20.74,0</v>
      </c>
    </row>
    <row r="419" spans="1:5" x14ac:dyDescent="0.35">
      <c r="A419" t="s">
        <v>44</v>
      </c>
      <c r="B419">
        <f>COUNTIFS(A$1:A419,A419)-1</f>
        <v>123</v>
      </c>
      <c r="C419" cm="1">
        <f t="array" aca="1" ref="C419" ca="1">_xlfn.XLOOKUP(B419,INDIRECT(A419&amp;"!A:A"),INDIRECT(A419&amp;"!B:B"),,0,1)</f>
        <v>-170.5</v>
      </c>
      <c r="D419" cm="1">
        <f t="array" aca="1" ref="D419" ca="1">_xlfn.XLOOKUP($B419,INDIRECT($A419&amp;"!A:A"),INDIRECT($A419&amp;"!E:E"),,0,1)</f>
        <v>-20.73</v>
      </c>
      <c r="E419" t="str">
        <f t="shared" ca="1" si="7"/>
        <v xml:space="preserve">              -170.5,-20.73,0</v>
      </c>
    </row>
    <row r="420" spans="1:5" x14ac:dyDescent="0.35">
      <c r="A420" t="s">
        <v>44</v>
      </c>
      <c r="B420">
        <f>COUNTIFS(A$1:A420,A420)-1</f>
        <v>124</v>
      </c>
      <c r="C420" cm="1">
        <f t="array" aca="1" ref="C420" ca="1">_xlfn.XLOOKUP(B420,INDIRECT(A420&amp;"!A:A"),INDIRECT(A420&amp;"!B:B"),,0,1)</f>
        <v>-170.75</v>
      </c>
      <c r="D420" cm="1">
        <f t="array" aca="1" ref="D420" ca="1">_xlfn.XLOOKUP($B420,INDIRECT($A420&amp;"!A:A"),INDIRECT($A420&amp;"!E:E"),,0,1)</f>
        <v>-20.71</v>
      </c>
      <c r="E420" t="str">
        <f t="shared" ca="1" si="7"/>
        <v xml:space="preserve">              -170.75,-20.71,0</v>
      </c>
    </row>
    <row r="421" spans="1:5" x14ac:dyDescent="0.35">
      <c r="A421" t="s">
        <v>44</v>
      </c>
      <c r="B421">
        <f>COUNTIFS(A$1:A421,A421)-1</f>
        <v>125</v>
      </c>
      <c r="C421" cm="1">
        <f t="array" aca="1" ref="C421" ca="1">_xlfn.XLOOKUP(B421,INDIRECT(A421&amp;"!A:A"),INDIRECT(A421&amp;"!B:B"),,0,1)</f>
        <v>-171</v>
      </c>
      <c r="D421" cm="1">
        <f t="array" aca="1" ref="D421" ca="1">_xlfn.XLOOKUP($B421,INDIRECT($A421&amp;"!A:A"),INDIRECT($A421&amp;"!E:E"),,0,1)</f>
        <v>-20.7</v>
      </c>
      <c r="E421" t="str">
        <f t="shared" ca="1" si="7"/>
        <v xml:space="preserve">              -171,-20.7,0</v>
      </c>
    </row>
    <row r="422" spans="1:5" x14ac:dyDescent="0.35">
      <c r="A422" t="s">
        <v>44</v>
      </c>
      <c r="B422">
        <f>COUNTIFS(A$1:A422,A422)-1</f>
        <v>126</v>
      </c>
      <c r="C422" cm="1">
        <f t="array" aca="1" ref="C422" ca="1">_xlfn.XLOOKUP(B422,INDIRECT(A422&amp;"!A:A"),INDIRECT(A422&amp;"!B:B"),,0,1)</f>
        <v>-171.25</v>
      </c>
      <c r="D422" cm="1">
        <f t="array" aca="1" ref="D422" ca="1">_xlfn.XLOOKUP($B422,INDIRECT($A422&amp;"!A:A"),INDIRECT($A422&amp;"!E:E"),,0,1)</f>
        <v>-20.69</v>
      </c>
      <c r="E422" t="str">
        <f t="shared" ca="1" si="7"/>
        <v xml:space="preserve">              -171.25,-20.69,0</v>
      </c>
    </row>
    <row r="423" spans="1:5" x14ac:dyDescent="0.35">
      <c r="A423" t="s">
        <v>44</v>
      </c>
      <c r="B423">
        <f>COUNTIFS(A$1:A423,A423)-1</f>
        <v>127</v>
      </c>
      <c r="C423" cm="1">
        <f t="array" aca="1" ref="C423" ca="1">_xlfn.XLOOKUP(B423,INDIRECT(A423&amp;"!A:A"),INDIRECT(A423&amp;"!B:B"),,0,1)</f>
        <v>-171.5</v>
      </c>
      <c r="D423" cm="1">
        <f t="array" aca="1" ref="D423" ca="1">_xlfn.XLOOKUP($B423,INDIRECT($A423&amp;"!A:A"),INDIRECT($A423&amp;"!E:E"),,0,1)</f>
        <v>-20.67</v>
      </c>
      <c r="E423" t="str">
        <f t="shared" ca="1" si="7"/>
        <v xml:space="preserve">              -171.5,-20.67,0</v>
      </c>
    </row>
    <row r="424" spans="1:5" x14ac:dyDescent="0.35">
      <c r="A424" t="s">
        <v>44</v>
      </c>
      <c r="B424">
        <f>COUNTIFS(A$1:A424,A424)-1</f>
        <v>128</v>
      </c>
      <c r="C424" cm="1">
        <f t="array" aca="1" ref="C424" ca="1">_xlfn.XLOOKUP(B424,INDIRECT(A424&amp;"!A:A"),INDIRECT(A424&amp;"!B:B"),,0,1)</f>
        <v>-171.75</v>
      </c>
      <c r="D424" cm="1">
        <f t="array" aca="1" ref="D424" ca="1">_xlfn.XLOOKUP($B424,INDIRECT($A424&amp;"!A:A"),INDIRECT($A424&amp;"!E:E"),,0,1)</f>
        <v>-20.66</v>
      </c>
      <c r="E424" t="str">
        <f t="shared" ca="1" si="7"/>
        <v xml:space="preserve">              -171.75,-20.66,0</v>
      </c>
    </row>
    <row r="425" spans="1:5" x14ac:dyDescent="0.35">
      <c r="A425" t="s">
        <v>44</v>
      </c>
      <c r="B425">
        <f>COUNTIFS(A$1:A425,A425)-1</f>
        <v>129</v>
      </c>
      <c r="C425" cm="1">
        <f t="array" aca="1" ref="C425" ca="1">_xlfn.XLOOKUP(B425,INDIRECT(A425&amp;"!A:A"),INDIRECT(A425&amp;"!B:B"),,0,1)</f>
        <v>-172</v>
      </c>
      <c r="D425" cm="1">
        <f t="array" aca="1" ref="D425" ca="1">_xlfn.XLOOKUP($B425,INDIRECT($A425&amp;"!A:A"),INDIRECT($A425&amp;"!E:E"),,0,1)</f>
        <v>-20.65</v>
      </c>
      <c r="E425" t="str">
        <f t="shared" ref="E425:E458" ca="1" si="8">"              "&amp;C425&amp;","&amp;D425&amp;",0"</f>
        <v xml:space="preserve">              -172,-20.65,0</v>
      </c>
    </row>
    <row r="426" spans="1:5" x14ac:dyDescent="0.35">
      <c r="A426" t="s">
        <v>44</v>
      </c>
      <c r="B426">
        <f>COUNTIFS(A$1:A426,A426)-1</f>
        <v>130</v>
      </c>
      <c r="C426" cm="1">
        <f t="array" aca="1" ref="C426" ca="1">_xlfn.XLOOKUP(B426,INDIRECT(A426&amp;"!A:A"),INDIRECT(A426&amp;"!B:B"),,0,1)</f>
        <v>-172.25</v>
      </c>
      <c r="D426" cm="1">
        <f t="array" aca="1" ref="D426" ca="1">_xlfn.XLOOKUP($B426,INDIRECT($A426&amp;"!A:A"),INDIRECT($A426&amp;"!E:E"),,0,1)</f>
        <v>-20.63</v>
      </c>
      <c r="E426" t="str">
        <f t="shared" ca="1" si="8"/>
        <v xml:space="preserve">              -172.25,-20.63,0</v>
      </c>
    </row>
    <row r="427" spans="1:5" x14ac:dyDescent="0.35">
      <c r="A427" t="s">
        <v>44</v>
      </c>
      <c r="B427">
        <f>COUNTIFS(A$1:A427,A427)-1</f>
        <v>131</v>
      </c>
      <c r="C427" cm="1">
        <f t="array" aca="1" ref="C427" ca="1">_xlfn.XLOOKUP(B427,INDIRECT(A427&amp;"!A:A"),INDIRECT(A427&amp;"!B:B"),,0,1)</f>
        <v>-172.5</v>
      </c>
      <c r="D427" cm="1">
        <f t="array" aca="1" ref="D427" ca="1">_xlfn.XLOOKUP($B427,INDIRECT($A427&amp;"!A:A"),INDIRECT($A427&amp;"!E:E"),,0,1)</f>
        <v>-20.62</v>
      </c>
      <c r="E427" t="str">
        <f t="shared" ca="1" si="8"/>
        <v xml:space="preserve">              -172.5,-20.62,0</v>
      </c>
    </row>
    <row r="428" spans="1:5" x14ac:dyDescent="0.35">
      <c r="A428" t="s">
        <v>44</v>
      </c>
      <c r="B428">
        <f>COUNTIFS(A$1:A428,A428)-1</f>
        <v>132</v>
      </c>
      <c r="C428" cm="1">
        <f t="array" aca="1" ref="C428" ca="1">_xlfn.XLOOKUP(B428,INDIRECT(A428&amp;"!A:A"),INDIRECT(A428&amp;"!B:B"),,0,1)</f>
        <v>-172.75</v>
      </c>
      <c r="D428" cm="1">
        <f t="array" aca="1" ref="D428" ca="1">_xlfn.XLOOKUP($B428,INDIRECT($A428&amp;"!A:A"),INDIRECT($A428&amp;"!E:E"),,0,1)</f>
        <v>-20.6</v>
      </c>
      <c r="E428" t="str">
        <f t="shared" ca="1" si="8"/>
        <v xml:space="preserve">              -172.75,-20.6,0</v>
      </c>
    </row>
    <row r="429" spans="1:5" x14ac:dyDescent="0.35">
      <c r="A429" t="s">
        <v>44</v>
      </c>
      <c r="B429">
        <f>COUNTIFS(A$1:A429,A429)-1</f>
        <v>133</v>
      </c>
      <c r="C429" cm="1">
        <f t="array" aca="1" ref="C429" ca="1">_xlfn.XLOOKUP(B429,INDIRECT(A429&amp;"!A:A"),INDIRECT(A429&amp;"!B:B"),,0,1)</f>
        <v>-173</v>
      </c>
      <c r="D429" cm="1">
        <f t="array" aca="1" ref="D429" ca="1">_xlfn.XLOOKUP($B429,INDIRECT($A429&amp;"!A:A"),INDIRECT($A429&amp;"!E:E"),,0,1)</f>
        <v>-20.59</v>
      </c>
      <c r="E429" t="str">
        <f t="shared" ca="1" si="8"/>
        <v xml:space="preserve">              -173,-20.59,0</v>
      </c>
    </row>
    <row r="430" spans="1:5" x14ac:dyDescent="0.35">
      <c r="A430" t="s">
        <v>44</v>
      </c>
      <c r="B430">
        <f>COUNTIFS(A$1:A430,A430)-1</f>
        <v>134</v>
      </c>
      <c r="C430" cm="1">
        <f t="array" aca="1" ref="C430" ca="1">_xlfn.XLOOKUP(B430,INDIRECT(A430&amp;"!A:A"),INDIRECT(A430&amp;"!B:B"),,0,1)</f>
        <v>-173.25</v>
      </c>
      <c r="D430" cm="1">
        <f t="array" aca="1" ref="D430" ca="1">_xlfn.XLOOKUP($B430,INDIRECT($A430&amp;"!A:A"),INDIRECT($A430&amp;"!E:E"),,0,1)</f>
        <v>-20.57</v>
      </c>
      <c r="E430" t="str">
        <f t="shared" ca="1" si="8"/>
        <v xml:space="preserve">              -173.25,-20.57,0</v>
      </c>
    </row>
    <row r="431" spans="1:5" x14ac:dyDescent="0.35">
      <c r="A431" t="s">
        <v>44</v>
      </c>
      <c r="B431">
        <f>COUNTIFS(A$1:A431,A431)-1</f>
        <v>135</v>
      </c>
      <c r="C431" cm="1">
        <f t="array" aca="1" ref="C431" ca="1">_xlfn.XLOOKUP(B431,INDIRECT(A431&amp;"!A:A"),INDIRECT(A431&amp;"!B:B"),,0,1)</f>
        <v>-173.5</v>
      </c>
      <c r="D431" cm="1">
        <f t="array" aca="1" ref="D431" ca="1">_xlfn.XLOOKUP($B431,INDIRECT($A431&amp;"!A:A"),INDIRECT($A431&amp;"!E:E"),,0,1)</f>
        <v>-20.55</v>
      </c>
      <c r="E431" t="str">
        <f t="shared" ca="1" si="8"/>
        <v xml:space="preserve">              -173.5,-20.55,0</v>
      </c>
    </row>
    <row r="432" spans="1:5" x14ac:dyDescent="0.35">
      <c r="A432" t="s">
        <v>44</v>
      </c>
      <c r="B432">
        <f>COUNTIFS(A$1:A432,A432)-1</f>
        <v>136</v>
      </c>
      <c r="C432" cm="1">
        <f t="array" aca="1" ref="C432" ca="1">_xlfn.XLOOKUP(B432,INDIRECT(A432&amp;"!A:A"),INDIRECT(A432&amp;"!B:B"),,0,1)</f>
        <v>-173.75</v>
      </c>
      <c r="D432" cm="1">
        <f t="array" aca="1" ref="D432" ca="1">_xlfn.XLOOKUP($B432,INDIRECT($A432&amp;"!A:A"),INDIRECT($A432&amp;"!E:E"),,0,1)</f>
        <v>-20.54</v>
      </c>
      <c r="E432" t="str">
        <f t="shared" ca="1" si="8"/>
        <v xml:space="preserve">              -173.75,-20.54,0</v>
      </c>
    </row>
    <row r="433" spans="1:5" x14ac:dyDescent="0.35">
      <c r="A433" t="s">
        <v>44</v>
      </c>
      <c r="B433">
        <f>COUNTIFS(A$1:A433,A433)-1</f>
        <v>137</v>
      </c>
      <c r="C433" cm="1">
        <f t="array" aca="1" ref="C433" ca="1">_xlfn.XLOOKUP(B433,INDIRECT(A433&amp;"!A:A"),INDIRECT(A433&amp;"!B:B"),,0,1)</f>
        <v>-174</v>
      </c>
      <c r="D433" cm="1">
        <f t="array" aca="1" ref="D433" ca="1">_xlfn.XLOOKUP($B433,INDIRECT($A433&amp;"!A:A"),INDIRECT($A433&amp;"!E:E"),,0,1)</f>
        <v>-20.52</v>
      </c>
      <c r="E433" t="str">
        <f t="shared" ca="1" si="8"/>
        <v xml:space="preserve">              -174,-20.52,0</v>
      </c>
    </row>
    <row r="434" spans="1:5" x14ac:dyDescent="0.35">
      <c r="A434" t="s">
        <v>44</v>
      </c>
      <c r="B434">
        <f>COUNTIFS(A$1:A434,A434)-1</f>
        <v>138</v>
      </c>
      <c r="C434" cm="1">
        <f t="array" aca="1" ref="C434" ca="1">_xlfn.XLOOKUP(B434,INDIRECT(A434&amp;"!A:A"),INDIRECT(A434&amp;"!B:B"),,0,1)</f>
        <v>-174.25</v>
      </c>
      <c r="D434" cm="1">
        <f t="array" aca="1" ref="D434" ca="1">_xlfn.XLOOKUP($B434,INDIRECT($A434&amp;"!A:A"),INDIRECT($A434&amp;"!E:E"),,0,1)</f>
        <v>-20.5</v>
      </c>
      <c r="E434" t="str">
        <f t="shared" ca="1" si="8"/>
        <v xml:space="preserve">              -174.25,-20.5,0</v>
      </c>
    </row>
    <row r="435" spans="1:5" x14ac:dyDescent="0.35">
      <c r="A435" t="s">
        <v>44</v>
      </c>
      <c r="B435">
        <f>COUNTIFS(A$1:A435,A435)-1</f>
        <v>139</v>
      </c>
      <c r="C435" cm="1">
        <f t="array" aca="1" ref="C435" ca="1">_xlfn.XLOOKUP(B435,INDIRECT(A435&amp;"!A:A"),INDIRECT(A435&amp;"!B:B"),,0,1)</f>
        <v>-174.5</v>
      </c>
      <c r="D435" cm="1">
        <f t="array" aca="1" ref="D435" ca="1">_xlfn.XLOOKUP($B435,INDIRECT($A435&amp;"!A:A"),INDIRECT($A435&amp;"!E:E"),,0,1)</f>
        <v>-20.48</v>
      </c>
      <c r="E435" t="str">
        <f t="shared" ca="1" si="8"/>
        <v xml:space="preserve">              -174.5,-20.48,0</v>
      </c>
    </row>
    <row r="436" spans="1:5" x14ac:dyDescent="0.35">
      <c r="A436" t="s">
        <v>44</v>
      </c>
      <c r="B436">
        <f>COUNTIFS(A$1:A436,A436)-1</f>
        <v>140</v>
      </c>
      <c r="C436" cm="1">
        <f t="array" aca="1" ref="C436" ca="1">_xlfn.XLOOKUP(B436,INDIRECT(A436&amp;"!A:A"),INDIRECT(A436&amp;"!B:B"),,0,1)</f>
        <v>-174.75</v>
      </c>
      <c r="D436" cm="1">
        <f t="array" aca="1" ref="D436" ca="1">_xlfn.XLOOKUP($B436,INDIRECT($A436&amp;"!A:A"),INDIRECT($A436&amp;"!E:E"),,0,1)</f>
        <v>-20.46</v>
      </c>
      <c r="E436" t="str">
        <f t="shared" ca="1" si="8"/>
        <v xml:space="preserve">              -174.75,-20.46,0</v>
      </c>
    </row>
    <row r="437" spans="1:5" x14ac:dyDescent="0.35">
      <c r="A437" t="s">
        <v>44</v>
      </c>
      <c r="B437">
        <f>COUNTIFS(A$1:A437,A437)-1</f>
        <v>141</v>
      </c>
      <c r="C437" cm="1">
        <f t="array" aca="1" ref="C437" ca="1">_xlfn.XLOOKUP(B437,INDIRECT(A437&amp;"!A:A"),INDIRECT(A437&amp;"!B:B"),,0,1)</f>
        <v>-175</v>
      </c>
      <c r="D437" cm="1">
        <f t="array" aca="1" ref="D437" ca="1">_xlfn.XLOOKUP($B437,INDIRECT($A437&amp;"!A:A"),INDIRECT($A437&amp;"!E:E"),,0,1)</f>
        <v>-20.45</v>
      </c>
      <c r="E437" t="str">
        <f t="shared" ca="1" si="8"/>
        <v xml:space="preserve">              -175,-20.45,0</v>
      </c>
    </row>
    <row r="438" spans="1:5" x14ac:dyDescent="0.35">
      <c r="A438" t="s">
        <v>44</v>
      </c>
      <c r="B438">
        <f>COUNTIFS(A$1:A438,A438)-1</f>
        <v>142</v>
      </c>
      <c r="C438" cm="1">
        <f t="array" aca="1" ref="C438" ca="1">_xlfn.XLOOKUP(B438,INDIRECT(A438&amp;"!A:A"),INDIRECT(A438&amp;"!B:B"),,0,1)</f>
        <v>-175.25</v>
      </c>
      <c r="D438" cm="1">
        <f t="array" aca="1" ref="D438" ca="1">_xlfn.XLOOKUP($B438,INDIRECT($A438&amp;"!A:A"),INDIRECT($A438&amp;"!E:E"),,0,1)</f>
        <v>-20.43</v>
      </c>
      <c r="E438" t="str">
        <f t="shared" ca="1" si="8"/>
        <v xml:space="preserve">              -175.25,-20.43,0</v>
      </c>
    </row>
    <row r="439" spans="1:5" x14ac:dyDescent="0.35">
      <c r="A439" t="s">
        <v>44</v>
      </c>
      <c r="B439">
        <f>COUNTIFS(A$1:A439,A439)-1</f>
        <v>143</v>
      </c>
      <c r="C439" cm="1">
        <f t="array" aca="1" ref="C439" ca="1">_xlfn.XLOOKUP(B439,INDIRECT(A439&amp;"!A:A"),INDIRECT(A439&amp;"!B:B"),,0,1)</f>
        <v>-175.5</v>
      </c>
      <c r="D439" cm="1">
        <f t="array" aca="1" ref="D439" ca="1">_xlfn.XLOOKUP($B439,INDIRECT($A439&amp;"!A:A"),INDIRECT($A439&amp;"!E:E"),,0,1)</f>
        <v>-20.41</v>
      </c>
      <c r="E439" t="str">
        <f t="shared" ca="1" si="8"/>
        <v xml:space="preserve">              -175.5,-20.41,0</v>
      </c>
    </row>
    <row r="440" spans="1:5" x14ac:dyDescent="0.35">
      <c r="A440" t="s">
        <v>44</v>
      </c>
      <c r="B440">
        <f>COUNTIFS(A$1:A440,A440)-1</f>
        <v>144</v>
      </c>
      <c r="C440" cm="1">
        <f t="array" aca="1" ref="C440" ca="1">_xlfn.XLOOKUP(B440,INDIRECT(A440&amp;"!A:A"),INDIRECT(A440&amp;"!B:B"),,0,1)</f>
        <v>-175.75</v>
      </c>
      <c r="D440" cm="1">
        <f t="array" aca="1" ref="D440" ca="1">_xlfn.XLOOKUP($B440,INDIRECT($A440&amp;"!A:A"),INDIRECT($A440&amp;"!E:E"),,0,1)</f>
        <v>-20.39</v>
      </c>
      <c r="E440" t="str">
        <f t="shared" ca="1" si="8"/>
        <v xml:space="preserve">              -175.75,-20.39,0</v>
      </c>
    </row>
    <row r="441" spans="1:5" x14ac:dyDescent="0.35">
      <c r="A441" t="s">
        <v>44</v>
      </c>
      <c r="B441">
        <f>COUNTIFS(A$1:A441,A441)-1</f>
        <v>145</v>
      </c>
      <c r="C441" cm="1">
        <f t="array" aca="1" ref="C441" ca="1">_xlfn.XLOOKUP(B441,INDIRECT(A441&amp;"!A:A"),INDIRECT(A441&amp;"!B:B"),,0,1)</f>
        <v>-176</v>
      </c>
      <c r="D441" cm="1">
        <f t="array" aca="1" ref="D441" ca="1">_xlfn.XLOOKUP($B441,INDIRECT($A441&amp;"!A:A"),INDIRECT($A441&amp;"!E:E"),,0,1)</f>
        <v>-20.37</v>
      </c>
      <c r="E441" t="str">
        <f t="shared" ca="1" si="8"/>
        <v xml:space="preserve">              -176,-20.37,0</v>
      </c>
    </row>
    <row r="442" spans="1:5" x14ac:dyDescent="0.35">
      <c r="A442" t="s">
        <v>44</v>
      </c>
      <c r="B442">
        <f>COUNTIFS(A$1:A442,A442)-1</f>
        <v>146</v>
      </c>
      <c r="C442" cm="1">
        <f t="array" aca="1" ref="C442" ca="1">_xlfn.XLOOKUP(B442,INDIRECT(A442&amp;"!A:A"),INDIRECT(A442&amp;"!B:B"),,0,1)</f>
        <v>-176.25</v>
      </c>
      <c r="D442" cm="1">
        <f t="array" aca="1" ref="D442" ca="1">_xlfn.XLOOKUP($B442,INDIRECT($A442&amp;"!A:A"),INDIRECT($A442&amp;"!E:E"),,0,1)</f>
        <v>-20.350000000000001</v>
      </c>
      <c r="E442" t="str">
        <f t="shared" ca="1" si="8"/>
        <v xml:space="preserve">              -176.25,-20.35,0</v>
      </c>
    </row>
    <row r="443" spans="1:5" x14ac:dyDescent="0.35">
      <c r="A443" t="s">
        <v>44</v>
      </c>
      <c r="B443">
        <f>COUNTIFS(A$1:A443,A443)-1</f>
        <v>147</v>
      </c>
      <c r="C443" cm="1">
        <f t="array" aca="1" ref="C443" ca="1">_xlfn.XLOOKUP(B443,INDIRECT(A443&amp;"!A:A"),INDIRECT(A443&amp;"!B:B"),,0,1)</f>
        <v>-176.5</v>
      </c>
      <c r="D443" cm="1">
        <f t="array" aca="1" ref="D443" ca="1">_xlfn.XLOOKUP($B443,INDIRECT($A443&amp;"!A:A"),INDIRECT($A443&amp;"!E:E"),,0,1)</f>
        <v>-20.329999999999998</v>
      </c>
      <c r="E443" t="str">
        <f t="shared" ca="1" si="8"/>
        <v xml:space="preserve">              -176.5,-20.33,0</v>
      </c>
    </row>
    <row r="444" spans="1:5" x14ac:dyDescent="0.35">
      <c r="A444" t="s">
        <v>44</v>
      </c>
      <c r="B444">
        <f>COUNTIFS(A$1:A444,A444)-1</f>
        <v>148</v>
      </c>
      <c r="C444" cm="1">
        <f t="array" aca="1" ref="C444" ca="1">_xlfn.XLOOKUP(B444,INDIRECT(A444&amp;"!A:A"),INDIRECT(A444&amp;"!B:B"),,0,1)</f>
        <v>-176.75</v>
      </c>
      <c r="D444" cm="1">
        <f t="array" aca="1" ref="D444" ca="1">_xlfn.XLOOKUP($B444,INDIRECT($A444&amp;"!A:A"),INDIRECT($A444&amp;"!E:E"),,0,1)</f>
        <v>-20.3</v>
      </c>
      <c r="E444" t="str">
        <f t="shared" ca="1" si="8"/>
        <v xml:space="preserve">              -176.75,-20.3,0</v>
      </c>
    </row>
    <row r="445" spans="1:5" x14ac:dyDescent="0.35">
      <c r="A445" t="s">
        <v>44</v>
      </c>
      <c r="B445">
        <f>COUNTIFS(A$1:A445,A445)-1</f>
        <v>149</v>
      </c>
      <c r="C445" cm="1">
        <f t="array" aca="1" ref="C445" ca="1">_xlfn.XLOOKUP(B445,INDIRECT(A445&amp;"!A:A"),INDIRECT(A445&amp;"!B:B"),,0,1)</f>
        <v>-177</v>
      </c>
      <c r="D445" cm="1">
        <f t="array" aca="1" ref="D445" ca="1">_xlfn.XLOOKUP($B445,INDIRECT($A445&amp;"!A:A"),INDIRECT($A445&amp;"!E:E"),,0,1)</f>
        <v>-20.28</v>
      </c>
      <c r="E445" t="str">
        <f t="shared" ca="1" si="8"/>
        <v xml:space="preserve">              -177,-20.28,0</v>
      </c>
    </row>
    <row r="446" spans="1:5" x14ac:dyDescent="0.35">
      <c r="A446" t="s">
        <v>44</v>
      </c>
      <c r="B446">
        <f>COUNTIFS(A$1:A446,A446)-1</f>
        <v>150</v>
      </c>
      <c r="C446" cm="1">
        <f t="array" aca="1" ref="C446" ca="1">_xlfn.XLOOKUP(B446,INDIRECT(A446&amp;"!A:A"),INDIRECT(A446&amp;"!B:B"),,0,1)</f>
        <v>-177.25</v>
      </c>
      <c r="D446" cm="1">
        <f t="array" aca="1" ref="D446" ca="1">_xlfn.XLOOKUP($B446,INDIRECT($A446&amp;"!A:A"),INDIRECT($A446&amp;"!E:E"),,0,1)</f>
        <v>-20.260000000000002</v>
      </c>
      <c r="E446" t="str">
        <f t="shared" ca="1" si="8"/>
        <v xml:space="preserve">              -177.25,-20.26,0</v>
      </c>
    </row>
    <row r="447" spans="1:5" x14ac:dyDescent="0.35">
      <c r="A447" t="s">
        <v>44</v>
      </c>
      <c r="B447">
        <f>COUNTIFS(A$1:A447,A447)-1</f>
        <v>151</v>
      </c>
      <c r="C447" cm="1">
        <f t="array" aca="1" ref="C447" ca="1">_xlfn.XLOOKUP(B447,INDIRECT(A447&amp;"!A:A"),INDIRECT(A447&amp;"!B:B"),,0,1)</f>
        <v>-177.5</v>
      </c>
      <c r="D447" cm="1">
        <f t="array" aca="1" ref="D447" ca="1">_xlfn.XLOOKUP($B447,INDIRECT($A447&amp;"!A:A"),INDIRECT($A447&amp;"!E:E"),,0,1)</f>
        <v>-20.239999999999998</v>
      </c>
      <c r="E447" t="str">
        <f t="shared" ca="1" si="8"/>
        <v xml:space="preserve">              -177.5,-20.24,0</v>
      </c>
    </row>
    <row r="448" spans="1:5" x14ac:dyDescent="0.35">
      <c r="A448" t="s">
        <v>44</v>
      </c>
      <c r="B448">
        <f>COUNTIFS(A$1:A448,A448)-1</f>
        <v>152</v>
      </c>
      <c r="C448" cm="1">
        <f t="array" aca="1" ref="C448" ca="1">_xlfn.XLOOKUP(B448,INDIRECT(A448&amp;"!A:A"),INDIRECT(A448&amp;"!B:B"),,0,1)</f>
        <v>-177.75</v>
      </c>
      <c r="D448" cm="1">
        <f t="array" aca="1" ref="D448" ca="1">_xlfn.XLOOKUP($B448,INDIRECT($A448&amp;"!A:A"),INDIRECT($A448&amp;"!E:E"),,0,1)</f>
        <v>-20.22</v>
      </c>
      <c r="E448" t="str">
        <f t="shared" ca="1" si="8"/>
        <v xml:space="preserve">              -177.75,-20.22,0</v>
      </c>
    </row>
    <row r="449" spans="1:5" x14ac:dyDescent="0.35">
      <c r="A449" t="s">
        <v>44</v>
      </c>
      <c r="B449">
        <f>COUNTIFS(A$1:A449,A449)-1</f>
        <v>153</v>
      </c>
      <c r="C449" cm="1">
        <f t="array" aca="1" ref="C449" ca="1">_xlfn.XLOOKUP(B449,INDIRECT(A449&amp;"!A:A"),INDIRECT(A449&amp;"!B:B"),,0,1)</f>
        <v>-178</v>
      </c>
      <c r="D449" cm="1">
        <f t="array" aca="1" ref="D449" ca="1">_xlfn.XLOOKUP($B449,INDIRECT($A449&amp;"!A:A"),INDIRECT($A449&amp;"!E:E"),,0,1)</f>
        <v>-20.190000000000001</v>
      </c>
      <c r="E449" t="str">
        <f t="shared" ca="1" si="8"/>
        <v xml:space="preserve">              -178,-20.19,0</v>
      </c>
    </row>
    <row r="450" spans="1:5" x14ac:dyDescent="0.35">
      <c r="A450" t="s">
        <v>44</v>
      </c>
      <c r="B450">
        <f>COUNTIFS(A$1:A450,A450)-1</f>
        <v>154</v>
      </c>
      <c r="C450" cm="1">
        <f t="array" aca="1" ref="C450" ca="1">_xlfn.XLOOKUP(B450,INDIRECT(A450&amp;"!A:A"),INDIRECT(A450&amp;"!B:B"),,0,1)</f>
        <v>-178.25</v>
      </c>
      <c r="D450" cm="1">
        <f t="array" aca="1" ref="D450" ca="1">_xlfn.XLOOKUP($B450,INDIRECT($A450&amp;"!A:A"),INDIRECT($A450&amp;"!E:E"),,0,1)</f>
        <v>-20.170000000000002</v>
      </c>
      <c r="E450" t="str">
        <f t="shared" ca="1" si="8"/>
        <v xml:space="preserve">              -178.25,-20.17,0</v>
      </c>
    </row>
    <row r="451" spans="1:5" x14ac:dyDescent="0.35">
      <c r="A451" t="s">
        <v>44</v>
      </c>
      <c r="B451">
        <f>COUNTIFS(A$1:A451,A451)-1</f>
        <v>155</v>
      </c>
      <c r="C451" cm="1">
        <f t="array" aca="1" ref="C451" ca="1">_xlfn.XLOOKUP(B451,INDIRECT(A451&amp;"!A:A"),INDIRECT(A451&amp;"!B:B"),,0,1)</f>
        <v>-178.5</v>
      </c>
      <c r="D451" cm="1">
        <f t="array" aca="1" ref="D451" ca="1">_xlfn.XLOOKUP($B451,INDIRECT($A451&amp;"!A:A"),INDIRECT($A451&amp;"!E:E"),,0,1)</f>
        <v>-20.149999999999999</v>
      </c>
      <c r="E451" t="str">
        <f t="shared" ca="1" si="8"/>
        <v xml:space="preserve">              -178.5,-20.15,0</v>
      </c>
    </row>
    <row r="452" spans="1:5" x14ac:dyDescent="0.35">
      <c r="A452" t="s">
        <v>44</v>
      </c>
      <c r="B452">
        <f>COUNTIFS(A$1:A452,A452)-1</f>
        <v>156</v>
      </c>
      <c r="C452" cm="1">
        <f t="array" aca="1" ref="C452" ca="1">_xlfn.XLOOKUP(B452,INDIRECT(A452&amp;"!A:A"),INDIRECT(A452&amp;"!B:B"),,0,1)</f>
        <v>-178.75</v>
      </c>
      <c r="D452" cm="1">
        <f t="array" aca="1" ref="D452" ca="1">_xlfn.XLOOKUP($B452,INDIRECT($A452&amp;"!A:A"),INDIRECT($A452&amp;"!E:E"),,0,1)</f>
        <v>-20.12</v>
      </c>
      <c r="E452" t="str">
        <f t="shared" ca="1" si="8"/>
        <v xml:space="preserve">              -178.75,-20.12,0</v>
      </c>
    </row>
    <row r="453" spans="1:5" x14ac:dyDescent="0.35">
      <c r="A453" t="s">
        <v>44</v>
      </c>
      <c r="B453">
        <f>COUNTIFS(A$1:A453,A453)-1</f>
        <v>157</v>
      </c>
      <c r="C453" cm="1">
        <f t="array" aca="1" ref="C453" ca="1">_xlfn.XLOOKUP(B453,INDIRECT(A453&amp;"!A:A"),INDIRECT(A453&amp;"!B:B"),,0,1)</f>
        <v>-179</v>
      </c>
      <c r="D453" cm="1">
        <f t="array" aca="1" ref="D453" ca="1">_xlfn.XLOOKUP($B453,INDIRECT($A453&amp;"!A:A"),INDIRECT($A453&amp;"!E:E"),,0,1)</f>
        <v>-20.100000000000001</v>
      </c>
      <c r="E453" t="str">
        <f t="shared" ca="1" si="8"/>
        <v xml:space="preserve">              -179,-20.1,0</v>
      </c>
    </row>
    <row r="454" spans="1:5" x14ac:dyDescent="0.35">
      <c r="A454" t="s">
        <v>44</v>
      </c>
      <c r="B454">
        <f>COUNTIFS(A$1:A454,A454)-1</f>
        <v>158</v>
      </c>
      <c r="C454" cm="1">
        <f t="array" aca="1" ref="C454" ca="1">_xlfn.XLOOKUP(B454,INDIRECT(A454&amp;"!A:A"),INDIRECT(A454&amp;"!B:B"),,0,1)</f>
        <v>-179.25</v>
      </c>
      <c r="D454" cm="1">
        <f t="array" aca="1" ref="D454" ca="1">_xlfn.XLOOKUP($B454,INDIRECT($A454&amp;"!A:A"),INDIRECT($A454&amp;"!E:E"),,0,1)</f>
        <v>-20.07</v>
      </c>
      <c r="E454" t="str">
        <f t="shared" ca="1" si="8"/>
        <v xml:space="preserve">              -179.25,-20.07,0</v>
      </c>
    </row>
    <row r="455" spans="1:5" x14ac:dyDescent="0.35">
      <c r="A455" t="s">
        <v>44</v>
      </c>
      <c r="B455">
        <f>COUNTIFS(A$1:A455,A455)-1</f>
        <v>159</v>
      </c>
      <c r="C455" cm="1">
        <f t="array" aca="1" ref="C455" ca="1">_xlfn.XLOOKUP(B455,INDIRECT(A455&amp;"!A:A"),INDIRECT(A455&amp;"!B:B"),,0,1)</f>
        <v>-179.5</v>
      </c>
      <c r="D455" cm="1">
        <f t="array" aca="1" ref="D455" ca="1">_xlfn.XLOOKUP($B455,INDIRECT($A455&amp;"!A:A"),INDIRECT($A455&amp;"!E:E"),,0,1)</f>
        <v>-20.05</v>
      </c>
      <c r="E455" t="str">
        <f t="shared" ca="1" si="8"/>
        <v xml:space="preserve">              -179.5,-20.05,0</v>
      </c>
    </row>
    <row r="456" spans="1:5" x14ac:dyDescent="0.35">
      <c r="A456" t="s">
        <v>44</v>
      </c>
      <c r="B456">
        <f>COUNTIFS(A$1:A456,A456)-1</f>
        <v>160</v>
      </c>
      <c r="C456" cm="1">
        <f t="array" aca="1" ref="C456" ca="1">_xlfn.XLOOKUP(B456,INDIRECT(A456&amp;"!A:A"),INDIRECT(A456&amp;"!B:B"),,0,1)</f>
        <v>-179.75</v>
      </c>
      <c r="D456" cm="1">
        <f t="array" aca="1" ref="D456" ca="1">_xlfn.XLOOKUP($B456,INDIRECT($A456&amp;"!A:A"),INDIRECT($A456&amp;"!E:E"),,0,1)</f>
        <v>-20.02</v>
      </c>
      <c r="E456" t="str">
        <f t="shared" ca="1" si="8"/>
        <v xml:space="preserve">              -179.75,-20.02,0</v>
      </c>
    </row>
    <row r="457" spans="1:5" x14ac:dyDescent="0.35">
      <c r="A457" t="s">
        <v>44</v>
      </c>
      <c r="B457">
        <f>COUNTIFS(A$1:A457,A457)-1</f>
        <v>161</v>
      </c>
      <c r="C457" cm="1">
        <f t="array" aca="1" ref="C457" ca="1">_xlfn.XLOOKUP(B457,INDIRECT(A457&amp;"!A:A"),INDIRECT(A457&amp;"!B:B"),,0,1)</f>
        <v>-180</v>
      </c>
      <c r="D457" cm="1">
        <f t="array" aca="1" ref="D457" ca="1">_xlfn.XLOOKUP($B457,INDIRECT($A457&amp;"!A:A"),INDIRECT($A457&amp;"!E:E"),,0,1)</f>
        <v>-20</v>
      </c>
      <c r="E457" t="str">
        <f t="shared" ca="1" si="8"/>
        <v xml:space="preserve">              -180,-20,0</v>
      </c>
    </row>
    <row r="458" spans="1:5" x14ac:dyDescent="0.35">
      <c r="A458" t="s">
        <v>41</v>
      </c>
      <c r="B458">
        <v>0</v>
      </c>
      <c r="C458" cm="1">
        <f t="array" aca="1" ref="C458" ca="1">_xlfn.XLOOKUP(B458,INDIRECT(A458&amp;"!A:A"),INDIRECT(A458&amp;"!B:B"),,0,1)</f>
        <v>-180</v>
      </c>
      <c r="D458" cm="1">
        <f t="array" aca="1" ref="D458" ca="1">_xlfn.XLOOKUP($B458,INDIRECT($A458&amp;"!A:A"),INDIRECT($A458&amp;"!E:E"),,0,1)</f>
        <v>38.520000000000003</v>
      </c>
      <c r="E458" t="str">
        <f t="shared" ca="1" si="8"/>
        <v xml:space="preserve">              -180,38.52,0</v>
      </c>
    </row>
    <row r="459" spans="1:5" x14ac:dyDescent="0.35">
      <c r="E459" t="s">
        <v>26</v>
      </c>
    </row>
    <row r="460" spans="1:5" x14ac:dyDescent="0.35">
      <c r="E460" t="s">
        <v>27</v>
      </c>
    </row>
    <row r="461" spans="1:5" x14ac:dyDescent="0.35">
      <c r="E461" t="s">
        <v>28</v>
      </c>
    </row>
    <row r="462" spans="1:5" x14ac:dyDescent="0.35">
      <c r="E462" t="s">
        <v>29</v>
      </c>
    </row>
    <row r="463" spans="1:5" x14ac:dyDescent="0.35">
      <c r="E46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SideL1</vt:lpstr>
      <vt:lpstr>SideL3</vt:lpstr>
      <vt:lpstr>SideL4</vt:lpstr>
      <vt:lpstr>PacificFiji</vt:lpstr>
      <vt:lpstr>PacificFijiMINIMAL</vt:lpstr>
      <vt:lpstr>SideR1</vt:lpstr>
      <vt:lpstr>SideR2</vt:lpstr>
      <vt:lpstr>SideR3</vt:lpstr>
      <vt:lpstr>SideR4</vt:lpstr>
      <vt:lpstr>PacificHawaii</vt:lpstr>
    </vt:vector>
  </TitlesOfParts>
  <Company>Data3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Antrobus</dc:creator>
  <cp:lastModifiedBy>Philip Antrobus</cp:lastModifiedBy>
  <dcterms:created xsi:type="dcterms:W3CDTF">2026-03-20T04:04:54Z</dcterms:created>
  <dcterms:modified xsi:type="dcterms:W3CDTF">2026-03-24T00:22:56Z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6f5a57-d148-412f-8b11-bda3fcec488f_Enabled">
    <vt:lpwstr>true</vt:lpwstr>
  </property>
  <property fmtid="{D5CDD505-2E9C-101B-9397-08002B2CF9AE}" pid="3" name="MSIP_Label_1e6f5a57-d148-412f-8b11-bda3fcec488f_SetDate">
    <vt:lpwstr>2026-03-20T04:51:21Z</vt:lpwstr>
  </property>
  <property fmtid="{D5CDD505-2E9C-101B-9397-08002B2CF9AE}" pid="4" name="MSIP_Label_1e6f5a57-d148-412f-8b11-bda3fcec488f_Method">
    <vt:lpwstr>Privileged</vt:lpwstr>
  </property>
  <property fmtid="{D5CDD505-2E9C-101B-9397-08002B2CF9AE}" pid="5" name="MSIP_Label_1e6f5a57-d148-412f-8b11-bda3fcec488f_Name">
    <vt:lpwstr>PUBLIC</vt:lpwstr>
  </property>
  <property fmtid="{D5CDD505-2E9C-101B-9397-08002B2CF9AE}" pid="6" name="MSIP_Label_1e6f5a57-d148-412f-8b11-bda3fcec488f_SiteId">
    <vt:lpwstr>aee1d42e-29d0-401f-b3a7-4dfa337692cc</vt:lpwstr>
  </property>
  <property fmtid="{D5CDD505-2E9C-101B-9397-08002B2CF9AE}" pid="7" name="MSIP_Label_1e6f5a57-d148-412f-8b11-bda3fcec488f_ActionId">
    <vt:lpwstr>fb0d10dc-c4f1-4b99-9802-da77b33d7846</vt:lpwstr>
  </property>
  <property fmtid="{D5CDD505-2E9C-101B-9397-08002B2CF9AE}" pid="8" name="MSIP_Label_1e6f5a57-d148-412f-8b11-bda3fcec488f_ContentBits">
    <vt:lpwstr>2</vt:lpwstr>
  </property>
  <property fmtid="{D5CDD505-2E9C-101B-9397-08002B2CF9AE}" pid="9" name="MSIP_Label_1e6f5a57-d148-412f-8b11-bda3fcec488f_Tag">
    <vt:lpwstr>10, 0, 1, 1</vt:lpwstr>
  </property>
</Properties>
</file>